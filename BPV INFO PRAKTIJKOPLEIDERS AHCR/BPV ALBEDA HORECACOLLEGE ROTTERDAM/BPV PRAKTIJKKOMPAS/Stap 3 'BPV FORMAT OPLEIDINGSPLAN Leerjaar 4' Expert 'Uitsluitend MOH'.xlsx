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tudentalbeda-my.sharepoint.com/personal/cvdhe_albeda_nl/Documents/Bureaublad/BPV/09. BPV INFO PRAKTIJKOPLEIDERS AHCR/HULPMIDDEL OPLEIDINGSPLAN PRAKTIJKOPLEIDER/"/>
    </mc:Choice>
  </mc:AlternateContent>
  <xr:revisionPtr revIDLastSave="4" documentId="8_{4ACDF46E-0973-4456-8EBE-376EC9FBCC4E}" xr6:coauthVersionLast="47" xr6:coauthVersionMax="47" xr10:uidLastSave="{30811331-367E-4791-BAD6-12A46355870B}"/>
  <bookViews>
    <workbookView xWindow="-108" yWindow="-108" windowWidth="23256" windowHeight="12456" tabRatio="855" activeTab="1" xr2:uid="{B757199C-09A2-4458-99A0-FA9EF52DE18F}"/>
  </bookViews>
  <sheets>
    <sheet name="VISIE &amp; DOEL" sheetId="2" r:id="rId1"/>
    <sheet name="OPL.PLAN JAAR 4 @ PERIODE 1" sheetId="1" r:id="rId2"/>
    <sheet name="SHORTLIST @ PERIODE 1" sheetId="12" r:id="rId3"/>
    <sheet name="OPL.PLAN JAAR 4 @ PERIODE 2" sheetId="9" r:id="rId4"/>
    <sheet name="SHORTLIST @ PERIODE 2" sheetId="13" r:id="rId5"/>
    <sheet name="OPL.PLAN JAAR 4 @ PERIODE 3" sheetId="10" r:id="rId6"/>
    <sheet name="SHORTLIST @ PERIODE 3" sheetId="14" r:id="rId7"/>
    <sheet name="OPL.PLAN JAAR 4 @ PERIODE 4" sheetId="11" r:id="rId8"/>
    <sheet name="SHORTLIST @ PERIODE 4" sheetId="15" r:id="rId9"/>
  </sheets>
  <definedNames>
    <definedName name="_xlnm._FilterDatabase" localSheetId="1" hidden="1">'OPL.PLAN JAAR 4 @ PERIODE 1'!$B$14:$M$105</definedName>
    <definedName name="_xlnm._FilterDatabase" localSheetId="3" hidden="1">'OPL.PLAN JAAR 4 @ PERIODE 2'!$B$14:$M$105</definedName>
    <definedName name="_xlnm._FilterDatabase" localSheetId="5" hidden="1">'OPL.PLAN JAAR 4 @ PERIODE 3'!$B$14:$M$105</definedName>
    <definedName name="_xlnm._FilterDatabase" localSheetId="7" hidden="1">'OPL.PLAN JAAR 4 @ PERIODE 4'!$B$14:$M$105</definedName>
    <definedName name="_xlnm._FilterDatabase" localSheetId="2" hidden="1">'SHORTLIST @ PERIODE 1'!$B$14:$M$35</definedName>
    <definedName name="_xlnm._FilterDatabase" localSheetId="4" hidden="1">'SHORTLIST @ PERIODE 2'!$B$14:$M$35</definedName>
    <definedName name="_xlnm._FilterDatabase" localSheetId="6" hidden="1">'SHORTLIST @ PERIODE 3'!$B$14:$M$35</definedName>
    <definedName name="_xlnm._FilterDatabase" localSheetId="8" hidden="1">'SHORTLIST @ PERIODE 4'!$B$14:$M$35</definedName>
    <definedName name="_xlnm.Print_Area" localSheetId="1">'OPL.PLAN JAAR 4 @ PERIODE 1'!$B$2:$M$105</definedName>
    <definedName name="_xlnm.Print_Area" localSheetId="3">'OPL.PLAN JAAR 4 @ PERIODE 2'!$B$2:$M$105</definedName>
    <definedName name="_xlnm.Print_Area" localSheetId="5">'OPL.PLAN JAAR 4 @ PERIODE 3'!$B$2:$M$105</definedName>
    <definedName name="_xlnm.Print_Area" localSheetId="7">'OPL.PLAN JAAR 4 @ PERIODE 4'!$B$2:$M$105</definedName>
    <definedName name="_xlnm.Print_Area" localSheetId="2">'SHORTLIST @ PERIODE 1'!$B$2:$M$35</definedName>
    <definedName name="_xlnm.Print_Area" localSheetId="4">'SHORTLIST @ PERIODE 2'!$B$2:$M$35</definedName>
    <definedName name="_xlnm.Print_Area" localSheetId="6">'SHORTLIST @ PERIODE 3'!$B$2:$M$35</definedName>
    <definedName name="_xlnm.Print_Area" localSheetId="8">'SHORTLIST @ PERIODE 4'!$B$2:$M$35</definedName>
    <definedName name="_xlnm.Print_Area" localSheetId="0">'VISIE &amp; DOEL'!$A$1:$S$24</definedName>
    <definedName name="_xlnm.Print_Titles" localSheetId="1">'OPL.PLAN JAAR 4 @ PERIODE 1'!$2:$14</definedName>
    <definedName name="_xlnm.Print_Titles" localSheetId="3">'OPL.PLAN JAAR 4 @ PERIODE 2'!$2:$14</definedName>
    <definedName name="_xlnm.Print_Titles" localSheetId="5">'OPL.PLAN JAAR 4 @ PERIODE 3'!$2:$14</definedName>
    <definedName name="_xlnm.Print_Titles" localSheetId="7">'OPL.PLAN JAAR 4 @ PERIODE 4'!$2:$14</definedName>
    <definedName name="_xlnm.Print_Titles" localSheetId="2">'SHORTLIST @ PERIODE 1'!$2:$14</definedName>
    <definedName name="_xlnm.Print_Titles" localSheetId="4">'SHORTLIST @ PERIODE 2'!$2:$14</definedName>
    <definedName name="_xlnm.Print_Titles" localSheetId="6">'SHORTLIST @ PERIODE 3'!$2:$14</definedName>
    <definedName name="_xlnm.Print_Titles" localSheetId="8">'SHORTLIST @ PERIODE 4'!$2:$14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11" l="1"/>
  <c r="B104" i="11"/>
  <c r="B103" i="11"/>
  <c r="B102" i="11"/>
  <c r="B101" i="11"/>
  <c r="B100" i="11"/>
  <c r="B98" i="11"/>
  <c r="B97" i="11"/>
  <c r="B96" i="11"/>
  <c r="B95" i="11"/>
  <c r="B94" i="11"/>
  <c r="B93" i="11"/>
  <c r="B91" i="11"/>
  <c r="B90" i="11"/>
  <c r="B89" i="11"/>
  <c r="B88" i="11"/>
  <c r="B87" i="11"/>
  <c r="B86" i="11"/>
  <c r="B84" i="11"/>
  <c r="B83" i="11"/>
  <c r="B82" i="11"/>
  <c r="B81" i="11"/>
  <c r="B80" i="11"/>
  <c r="B79" i="11"/>
  <c r="B77" i="11"/>
  <c r="B76" i="11"/>
  <c r="B75" i="11"/>
  <c r="B74" i="11"/>
  <c r="B73" i="11"/>
  <c r="B72" i="11"/>
  <c r="B70" i="11"/>
  <c r="B69" i="11"/>
  <c r="B68" i="11"/>
  <c r="B67" i="11"/>
  <c r="B66" i="11"/>
  <c r="B65" i="11"/>
  <c r="B63" i="11"/>
  <c r="B62" i="11"/>
  <c r="B61" i="11"/>
  <c r="B60" i="11"/>
  <c r="B59" i="11"/>
  <c r="B58" i="11"/>
  <c r="B56" i="11"/>
  <c r="B55" i="11"/>
  <c r="B54" i="11"/>
  <c r="B53" i="11"/>
  <c r="B52" i="11"/>
  <c r="B51" i="11"/>
  <c r="B49" i="11"/>
  <c r="B48" i="11"/>
  <c r="B47" i="11"/>
  <c r="B46" i="11"/>
  <c r="B45" i="11"/>
  <c r="B44" i="11"/>
  <c r="B42" i="11"/>
  <c r="B41" i="11"/>
  <c r="B40" i="11"/>
  <c r="B39" i="11"/>
  <c r="B38" i="11"/>
  <c r="B37" i="11"/>
  <c r="B35" i="11"/>
  <c r="B34" i="11"/>
  <c r="B33" i="11"/>
  <c r="B32" i="11"/>
  <c r="B31" i="11"/>
  <c r="B30" i="11"/>
  <c r="B28" i="11"/>
  <c r="B27" i="11"/>
  <c r="B26" i="11"/>
  <c r="B25" i="11"/>
  <c r="B24" i="11"/>
  <c r="B23" i="11"/>
  <c r="B21" i="11"/>
  <c r="B20" i="11"/>
  <c r="B19" i="11"/>
  <c r="B18" i="11"/>
  <c r="B17" i="11"/>
  <c r="B16" i="11"/>
  <c r="E2" i="11"/>
  <c r="B105" i="10"/>
  <c r="B104" i="10"/>
  <c r="B103" i="10"/>
  <c r="B102" i="10"/>
  <c r="B101" i="10"/>
  <c r="B100" i="10"/>
  <c r="B98" i="10"/>
  <c r="B97" i="10"/>
  <c r="B96" i="10"/>
  <c r="B95" i="10"/>
  <c r="B94" i="10"/>
  <c r="B93" i="10"/>
  <c r="B91" i="10"/>
  <c r="B90" i="10"/>
  <c r="B89" i="10"/>
  <c r="B88" i="10"/>
  <c r="B87" i="10"/>
  <c r="B86" i="10"/>
  <c r="B84" i="10"/>
  <c r="B83" i="10"/>
  <c r="B82" i="10"/>
  <c r="B81" i="10"/>
  <c r="B80" i="10"/>
  <c r="B79" i="10"/>
  <c r="B77" i="10"/>
  <c r="B76" i="10"/>
  <c r="B75" i="10"/>
  <c r="B74" i="10"/>
  <c r="B73" i="10"/>
  <c r="B72" i="10"/>
  <c r="B70" i="10"/>
  <c r="B69" i="10"/>
  <c r="B68" i="10"/>
  <c r="B67" i="10"/>
  <c r="B66" i="10"/>
  <c r="B65" i="10"/>
  <c r="B63" i="10"/>
  <c r="B62" i="10"/>
  <c r="B61" i="10"/>
  <c r="B60" i="10"/>
  <c r="B59" i="10"/>
  <c r="B58" i="10"/>
  <c r="B56" i="10"/>
  <c r="B55" i="10"/>
  <c r="B54" i="10"/>
  <c r="B53" i="10"/>
  <c r="B52" i="10"/>
  <c r="B51" i="10"/>
  <c r="B49" i="10"/>
  <c r="B48" i="10"/>
  <c r="B47" i="10"/>
  <c r="B46" i="10"/>
  <c r="B45" i="10"/>
  <c r="B44" i="10"/>
  <c r="B42" i="10"/>
  <c r="B41" i="10"/>
  <c r="B40" i="10"/>
  <c r="B39" i="10"/>
  <c r="B38" i="10"/>
  <c r="B37" i="10"/>
  <c r="B35" i="10"/>
  <c r="B34" i="10"/>
  <c r="B33" i="10"/>
  <c r="B32" i="10"/>
  <c r="B31" i="10"/>
  <c r="B30" i="10"/>
  <c r="B28" i="10"/>
  <c r="B27" i="10"/>
  <c r="B26" i="10"/>
  <c r="B25" i="10"/>
  <c r="B24" i="10"/>
  <c r="B23" i="10"/>
  <c r="B21" i="10"/>
  <c r="B20" i="10"/>
  <c r="B19" i="10"/>
  <c r="B18" i="10"/>
  <c r="B17" i="10"/>
  <c r="B16" i="10"/>
  <c r="E2" i="10"/>
  <c r="E2" i="9"/>
  <c r="B105" i="9"/>
  <c r="B104" i="9"/>
  <c r="B103" i="9"/>
  <c r="B102" i="9"/>
  <c r="B101" i="9"/>
  <c r="B100" i="9"/>
  <c r="B98" i="9"/>
  <c r="B97" i="9"/>
  <c r="B96" i="9"/>
  <c r="B95" i="9"/>
  <c r="B94" i="9"/>
  <c r="B93" i="9"/>
  <c r="B91" i="9"/>
  <c r="B90" i="9"/>
  <c r="B89" i="9"/>
  <c r="B88" i="9"/>
  <c r="B87" i="9"/>
  <c r="B86" i="9"/>
  <c r="B84" i="9"/>
  <c r="B83" i="9"/>
  <c r="B82" i="9"/>
  <c r="B81" i="9"/>
  <c r="B80" i="9"/>
  <c r="B79" i="9"/>
  <c r="B77" i="9"/>
  <c r="B76" i="9"/>
  <c r="B75" i="9"/>
  <c r="B74" i="9"/>
  <c r="B73" i="9"/>
  <c r="B72" i="9"/>
  <c r="B70" i="9"/>
  <c r="B69" i="9"/>
  <c r="B68" i="9"/>
  <c r="B67" i="9"/>
  <c r="B66" i="9"/>
  <c r="B65" i="9"/>
  <c r="B63" i="9"/>
  <c r="B62" i="9"/>
  <c r="B61" i="9"/>
  <c r="B60" i="9"/>
  <c r="B59" i="9"/>
  <c r="B58" i="9"/>
  <c r="B56" i="9"/>
  <c r="B55" i="9"/>
  <c r="B54" i="9"/>
  <c r="B53" i="9"/>
  <c r="B52" i="9"/>
  <c r="B51" i="9"/>
  <c r="B49" i="9"/>
  <c r="B48" i="9"/>
  <c r="B47" i="9"/>
  <c r="B46" i="9"/>
  <c r="B45" i="9"/>
  <c r="B44" i="9"/>
  <c r="B42" i="9"/>
  <c r="B41" i="9"/>
  <c r="B40" i="9"/>
  <c r="B39" i="9"/>
  <c r="B38" i="9"/>
  <c r="B37" i="9"/>
  <c r="B35" i="9"/>
  <c r="B34" i="9"/>
  <c r="B33" i="9"/>
  <c r="B32" i="9"/>
  <c r="B31" i="9"/>
  <c r="B30" i="9"/>
  <c r="B28" i="9"/>
  <c r="B27" i="9"/>
  <c r="B26" i="9"/>
  <c r="B25" i="9"/>
  <c r="B24" i="9"/>
  <c r="B23" i="9"/>
  <c r="B21" i="9"/>
  <c r="B20" i="9"/>
  <c r="B19" i="9"/>
  <c r="B18" i="9"/>
  <c r="B17" i="9"/>
  <c r="B16" i="9"/>
  <c r="B105" i="1" l="1"/>
  <c r="B104" i="1"/>
  <c r="B103" i="1"/>
  <c r="B102" i="1"/>
  <c r="B101" i="1"/>
  <c r="B100" i="1"/>
  <c r="B98" i="1"/>
  <c r="B97" i="1"/>
  <c r="B96" i="1"/>
  <c r="B95" i="1"/>
  <c r="B94" i="1"/>
  <c r="B93" i="1"/>
  <c r="B91" i="1"/>
  <c r="B90" i="1"/>
  <c r="B89" i="1"/>
  <c r="B88" i="1"/>
  <c r="B87" i="1"/>
  <c r="B86" i="1"/>
  <c r="B84" i="1"/>
  <c r="B83" i="1"/>
  <c r="B82" i="1"/>
  <c r="B81" i="1"/>
  <c r="B80" i="1"/>
  <c r="B79" i="1"/>
  <c r="B77" i="1"/>
  <c r="B76" i="1"/>
  <c r="B75" i="1"/>
  <c r="B74" i="1"/>
  <c r="B73" i="1"/>
  <c r="B72" i="1"/>
  <c r="B70" i="1"/>
  <c r="B69" i="1"/>
  <c r="B68" i="1"/>
  <c r="B67" i="1"/>
  <c r="B66" i="1"/>
  <c r="B65" i="1"/>
  <c r="B63" i="1"/>
  <c r="B62" i="1"/>
  <c r="B61" i="1"/>
  <c r="B60" i="1"/>
  <c r="B59" i="1"/>
  <c r="B58" i="1"/>
  <c r="B56" i="1"/>
  <c r="B55" i="1"/>
  <c r="B54" i="1"/>
  <c r="B53" i="1"/>
  <c r="B52" i="1"/>
  <c r="B51" i="1"/>
  <c r="B49" i="1"/>
  <c r="B48" i="1"/>
  <c r="B47" i="1"/>
  <c r="B46" i="1"/>
  <c r="B45" i="1"/>
  <c r="B44" i="1"/>
  <c r="B42" i="1"/>
  <c r="B41" i="1"/>
  <c r="B40" i="1"/>
  <c r="B39" i="1"/>
  <c r="B38" i="1"/>
  <c r="B37" i="1"/>
  <c r="B35" i="1"/>
  <c r="B34" i="1"/>
  <c r="B33" i="1"/>
  <c r="B32" i="1"/>
  <c r="B31" i="1"/>
  <c r="B30" i="1"/>
  <c r="B28" i="1"/>
  <c r="B27" i="1"/>
  <c r="B26" i="1"/>
  <c r="B25" i="1"/>
  <c r="B24" i="1"/>
  <c r="B23" i="1"/>
  <c r="B20" i="1"/>
  <c r="B19" i="1"/>
  <c r="B18" i="1"/>
  <c r="B17" i="1"/>
  <c r="B16" i="1"/>
  <c r="B2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<sst xmlns="http://schemas.openxmlformats.org/spreadsheetml/2006/main" count="690" uniqueCount="97">
  <si>
    <t>WAAROM EEN INTERN OPLEIDINGSPLAN per leerjaar)? | Toepasbaar voor alle Horecaopleidingen BOL en BBL</t>
  </si>
  <si>
    <t>VISIE EN DOEL VAN HET OPLEIDINGSJAAR</t>
  </si>
  <si>
    <t>Periode</t>
  </si>
  <si>
    <t>Thema / Leerfocus</t>
  </si>
  <si>
    <t>Kernactiviteiten (werkprocessen)</t>
  </si>
  <si>
    <t>Opdrachten/Taken</t>
  </si>
  <si>
    <t>Begeleiding &amp; Evaluatie</t>
  </si>
  <si>
    <t>Kennismaken &amp; Basisvaardigheden.</t>
  </si>
  <si>
    <t>Oriëntatie op bedrijf, hygiëne, basisbereidingen, gastcontact.</t>
  </si>
  <si>
    <t>Kennismakingsopdracht (bedrijf), logboek, basistechnieken.</t>
  </si>
  <si>
    <t>Startgesprek + observatie.</t>
  </si>
  <si>
    <t>cvdhe</t>
  </si>
  <si>
    <t>Verdiepen &amp; Routine opbouwen.</t>
  </si>
  <si>
    <t>Zelfstandig werken aan werkprocessen uit het basisdeel.</t>
  </si>
  <si>
    <t>BPV Takenboek / My Signature.</t>
  </si>
  <si>
    <t>Voortgangsgesprek 1.</t>
  </si>
  <si>
    <t>Verantwoordelijkheid &amp; Kwaliteit.</t>
  </si>
  <si>
    <t>Complexere taken, samenwerken, kwaliteit bewaken, kostenbewust handelen.</t>
  </si>
  <si>
    <t>Projectopdracht (menuontwikkeling of gastbeleving).</t>
  </si>
  <si>
    <t>Voortgangsgesprek 2.</t>
  </si>
  <si>
    <t>Toewerken naar zelfstandigheid / Examen.</t>
  </si>
  <si>
    <t>Leidinggevende taken, examenwerk (Praktijkbeoordelen.nl).</t>
  </si>
  <si>
    <t>Examenopdrachten / portfolio.</t>
  </si>
  <si>
    <t>Eindevaluatie &amp; afronding.</t>
  </si>
  <si>
    <t>Moment</t>
  </si>
  <si>
    <t>Vorm / Inhoud</t>
  </si>
  <si>
    <t>Door wie</t>
  </si>
  <si>
    <t>Voorbereidingen</t>
  </si>
  <si>
    <t>Datum / Frequentie</t>
  </si>
  <si>
    <t>Startgesprek</t>
  </si>
  <si>
    <t>Bespreken leerdoelen en verwachtingen.</t>
  </si>
  <si>
    <t>Praktijkopleider + student.</t>
  </si>
  <si>
    <t>Agenda</t>
  </si>
  <si>
    <t>Week 1.</t>
  </si>
  <si>
    <t>Kennismakingsgesprek</t>
  </si>
  <si>
    <t>Kennis maken + afspraken m.b.t. persoonlijk leerplan leerling/student + opleidingsplan praktijkopleider. Meetmomenten en urenregistratie.</t>
  </si>
  <si>
    <t>Bedrijfsbezoeker Albeda Horecacollege Rotterdam + leerling/student + praktijkopleider.</t>
  </si>
  <si>
    <t xml:space="preserve">Zowel de praktijkopleider als de leerling/student vullen een Forms vragenlijst in. Deze wordt bij de afspraak gedeeld middel is link en een QR. </t>
  </si>
  <si>
    <t>Er wordt een afspraak gemaakt.</t>
  </si>
  <si>
    <t>Voortgang 1</t>
  </si>
  <si>
    <t>Bespreken voortgang,  leerhouding.</t>
  </si>
  <si>
    <t>Halverwege periode 2.</t>
  </si>
  <si>
    <t>Voortgangsgesprek</t>
  </si>
  <si>
    <t>Voortgang leerling/student. Reflecteren/evalueren n.a.v. de gemaakte afspraken tijdens het kennismakingsgesprek. Meetmomenten en urenregistratie.</t>
  </si>
  <si>
    <t>Voortgang 2</t>
  </si>
  <si>
    <t>Reflectie en bijstellen leerdoelen.</t>
  </si>
  <si>
    <t>Halverwege periode 3.</t>
  </si>
  <si>
    <t>Eindevaluatie</t>
  </si>
  <si>
    <t>Beoordeling + afronding examenwerk.</t>
  </si>
  <si>
    <t>Einde periode 4.</t>
  </si>
  <si>
    <t>Eindgesprek</t>
  </si>
  <si>
    <t>Voortgang leerling/student. Meetmomenten en urenregistratie.De leeling/student maakt een beoordeling. De POK eindigt op 31 juli.</t>
  </si>
  <si>
    <t>OPLEIDINGSPLAN:</t>
  </si>
  <si>
    <t xml:space="preserve">[NAAM LEERBEDRIJF] </t>
  </si>
  <si>
    <t xml:space="preserve">Opleidingsplan: </t>
  </si>
  <si>
    <t>Selecteer</t>
  </si>
  <si>
    <t xml:space="preserve">Praktijkopleider: </t>
  </si>
  <si>
    <t xml:space="preserve">[Naam Praktijkopleider] </t>
  </si>
  <si>
    <t>Leerling/Student:</t>
  </si>
  <si>
    <t xml:space="preserve">[Naam Leerling/Student] </t>
  </si>
  <si>
    <t xml:space="preserve">Opleiding: </t>
  </si>
  <si>
    <t xml:space="preserve">Leerjaar: </t>
  </si>
  <si>
    <t xml:space="preserve">Leerweg: </t>
  </si>
  <si>
    <t xml:space="preserve">BPV uren POK: </t>
  </si>
  <si>
    <t xml:space="preserve">Cohort: </t>
  </si>
  <si>
    <t>PERIODE/THEMA 1</t>
  </si>
  <si>
    <t>WEEKNR.</t>
  </si>
  <si>
    <t>DAGEN</t>
  </si>
  <si>
    <t>DATUM</t>
  </si>
  <si>
    <t>TAAK/OPDR./ACTIVITEIT</t>
  </si>
  <si>
    <t>LEERDOEL</t>
  </si>
  <si>
    <t>KERNTAAK/WERKPROCES</t>
  </si>
  <si>
    <t>OP WELKE MANIER/WIJZE</t>
  </si>
  <si>
    <t>BENODIGDHEDEN</t>
  </si>
  <si>
    <t>VOORBEREIDINGEN</t>
  </si>
  <si>
    <t>PR. OPLEIDER</t>
  </si>
  <si>
    <t>TIJD</t>
  </si>
  <si>
    <t>RESULTAAT/CRITERIA</t>
  </si>
  <si>
    <t>M</t>
  </si>
  <si>
    <t>Het bereiden en de uitgifte/presentatie van het personeelseten.</t>
  </si>
  <si>
    <t>De leerling/student leert zelfstandig het personeelseten te  bereiden en uitgifte gereed te maken/te presenteren volgens de richtlijnen van het bedrijf.</t>
  </si>
  <si>
    <r>
      <rPr>
        <b/>
        <sz val="10"/>
        <color theme="1"/>
        <rFont val="Aptos Narrow"/>
        <family val="2"/>
        <scheme val="minor"/>
      </rPr>
      <t>B1-K1: Bereidt gerechten</t>
    </r>
    <r>
      <rPr>
        <sz val="10"/>
        <color theme="1"/>
        <rFont val="Aptos Narrow"/>
        <family val="2"/>
        <scheme val="minor"/>
      </rPr>
      <t xml:space="preserve"> – W1, W2, W4, W5. </t>
    </r>
    <r>
      <rPr>
        <b/>
        <sz val="10"/>
        <color theme="1"/>
        <rFont val="Aptos Narrow"/>
        <family val="2"/>
        <scheme val="minor"/>
      </rPr>
      <t xml:space="preserve">B1-K2: Beheert keukenvoorraden </t>
    </r>
    <r>
      <rPr>
        <sz val="10"/>
        <color theme="1"/>
        <rFont val="Aptos Narrow"/>
        <family val="2"/>
        <scheme val="minor"/>
      </rPr>
      <t>- W4.</t>
    </r>
  </si>
  <si>
    <t xml:space="preserve">Onder begeleiding van de PO voert de student de bereiding stap voor stap uit: mise-en-place, bereiding, afwerking en presentatie. </t>
  </si>
  <si>
    <t>Ingrediënten voor het personeelseten, keukeninventaris (pannen, messen, snijplanken), receptuur, werkinstructie.</t>
  </si>
  <si>
    <t>Receptuur lezen, planning maken, producten/ingrediënten klaarzetten, werkplek controleren op netheid, controleren van houdbaarheid en voorraad.</t>
  </si>
  <si>
    <t xml:space="preserve">PO cvdhe </t>
  </si>
  <si>
    <t>Juiste portiegrootte, smaakvol en hygiënisch bereid, binnen de afgesproken tijd klaar voor uitgifte.</t>
  </si>
  <si>
    <t xml:space="preserve">D </t>
  </si>
  <si>
    <t xml:space="preserve">W </t>
  </si>
  <si>
    <t>V</t>
  </si>
  <si>
    <t>Z</t>
  </si>
  <si>
    <t>PERIODE/THEMA 2</t>
  </si>
  <si>
    <t>PERIODE/THEMA 3</t>
  </si>
  <si>
    <t>PERIODE/THEMA 4</t>
  </si>
  <si>
    <t>DAG</t>
  </si>
  <si>
    <t>[HIER DE NAAM VAN DE PERIODE/HET THEMA]</t>
  </si>
  <si>
    <t>120 minuten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</si>
</sst>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b/>
      <sz val="20"/>
      <color theme="3" tint="0.89999084444715716"/>
      <name val="Aptos Narrow"/>
      <family val="2"/>
      <scheme val="minor"/>
    </font>
    <font>
      <b/>
      <sz val="20"/>
      <color theme="3" tint="0.74999237037263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3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/>
      <right/>
      <top style="thick">
        <color theme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theme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theme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4" borderId="1" xfId="0" applyFill="1" applyBorder="1" applyAlignment="1" applyProtection="1">
      <alignment vertical="center"/>
      <protection locked="0"/>
    </xf>
    <xf numFmtId="0" fontId="0" fillId="4" borderId="1" xfId="0" applyFill="1" applyBorder="1" applyProtection="1">
      <protection locked="0"/>
    </xf>
    <xf numFmtId="0" fontId="4" fillId="3" borderId="15" xfId="0" applyFont="1" applyFill="1" applyBorder="1" applyAlignment="1" applyProtection="1">
      <alignment horizontal="center" vertical="center"/>
      <protection locked="0"/>
    </xf>
    <xf numFmtId="0" fontId="4" fillId="5" borderId="15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4" xfId="0" applyBorder="1"/>
    <xf numFmtId="0" fontId="2" fillId="0" borderId="0" xfId="0" applyFont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2" fillId="4" borderId="12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0" fillId="0" borderId="7" xfId="0" applyBorder="1"/>
    <xf numFmtId="0" fontId="2" fillId="0" borderId="18" xfId="0" applyFont="1" applyBorder="1" applyProtection="1">
      <protection locked="0"/>
    </xf>
    <xf numFmtId="0" fontId="0" fillId="0" borderId="0" xfId="0" applyProtection="1">
      <protection locked="0"/>
    </xf>
    <xf numFmtId="0" fontId="0" fillId="4" borderId="1" xfId="0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4" fillId="4" borderId="8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 applyProtection="1">
      <alignment horizontal="center" vertical="center" wrapText="1"/>
      <protection locked="0"/>
    </xf>
    <xf numFmtId="0" fontId="14" fillId="4" borderId="5" xfId="0" applyFont="1" applyFill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4" borderId="6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14" fillId="4" borderId="1" xfId="0" applyFont="1" applyFill="1" applyBorder="1" applyAlignment="1" applyProtection="1">
      <alignment horizontal="left" vertical="center" wrapText="1"/>
      <protection locked="0"/>
    </xf>
    <xf numFmtId="0" fontId="14" fillId="4" borderId="5" xfId="0" applyFont="1" applyFill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15" fontId="14" fillId="4" borderId="8" xfId="0" applyNumberFormat="1" applyFont="1" applyFill="1" applyBorder="1" applyAlignment="1" applyProtection="1">
      <alignment horizontal="center" vertical="center" wrapText="1"/>
      <protection locked="0"/>
    </xf>
    <xf numFmtId="15" fontId="14" fillId="0" borderId="6" xfId="0" applyNumberFormat="1" applyFont="1" applyBorder="1" applyAlignment="1" applyProtection="1">
      <alignment horizontal="center" vertical="center" wrapText="1"/>
      <protection locked="0"/>
    </xf>
    <xf numFmtId="15" fontId="14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4" borderId="8" xfId="0" applyFont="1" applyFill="1" applyBorder="1" applyAlignment="1" applyProtection="1">
      <alignment horizontal="left" vertical="center" wrapText="1"/>
      <protection locked="0"/>
    </xf>
    <xf numFmtId="14" fontId="14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4" fillId="4" borderId="19" xfId="0" applyFont="1" applyFill="1" applyBorder="1" applyAlignment="1" applyProtection="1">
      <alignment horizontal="left" vertical="center" wrapText="1"/>
      <protection locked="0"/>
    </xf>
    <xf numFmtId="0" fontId="14" fillId="4" borderId="6" xfId="0" applyFont="1" applyFill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14" fontId="14" fillId="0" borderId="1" xfId="0" applyNumberFormat="1" applyFont="1" applyBorder="1" applyAlignment="1" applyProtection="1">
      <alignment horizontal="left" vertical="center" wrapText="1"/>
      <protection locked="0"/>
    </xf>
    <xf numFmtId="0" fontId="4" fillId="3" borderId="16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4" fillId="4" borderId="22" xfId="0" applyFont="1" applyFill="1" applyBorder="1" applyAlignment="1" applyProtection="1">
      <alignment horizontal="center" vertical="center" wrapText="1"/>
      <protection locked="0"/>
    </xf>
    <xf numFmtId="0" fontId="14" fillId="4" borderId="22" xfId="0" applyFont="1" applyFill="1" applyBorder="1" applyAlignment="1" applyProtection="1">
      <alignment horizontal="left" vertical="center" wrapText="1"/>
      <protection locked="0"/>
    </xf>
    <xf numFmtId="0" fontId="14" fillId="4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Border="1" applyAlignment="1" applyProtection="1">
      <alignment horizontal="left" vertical="center" wrapText="1"/>
      <protection locked="0"/>
    </xf>
    <xf numFmtId="0" fontId="14" fillId="4" borderId="24" xfId="0" applyFont="1" applyFill="1" applyBorder="1" applyAlignment="1" applyProtection="1">
      <alignment horizontal="left" vertical="center" wrapText="1"/>
      <protection locked="0"/>
    </xf>
    <xf numFmtId="0" fontId="14" fillId="4" borderId="25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Border="1" applyAlignment="1" applyProtection="1">
      <alignment horizontal="left" vertical="center" wrapText="1"/>
      <protection locked="0"/>
    </xf>
    <xf numFmtId="0" fontId="14" fillId="0" borderId="25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left" vertical="center" wrapText="1"/>
      <protection locked="0"/>
    </xf>
    <xf numFmtId="0" fontId="14" fillId="4" borderId="27" xfId="0" applyFont="1" applyFill="1" applyBorder="1" applyAlignment="1" applyProtection="1">
      <alignment horizontal="left" vertical="center" wrapText="1"/>
      <protection locked="0"/>
    </xf>
    <xf numFmtId="0" fontId="1" fillId="2" borderId="29" xfId="0" applyFont="1" applyFill="1" applyBorder="1"/>
    <xf numFmtId="0" fontId="4" fillId="3" borderId="28" xfId="0" applyFont="1" applyFill="1" applyBorder="1" applyAlignment="1" applyProtection="1">
      <alignment horizontal="center" vertical="center"/>
      <protection locked="0"/>
    </xf>
    <xf numFmtId="0" fontId="4" fillId="3" borderId="28" xfId="0" applyFont="1" applyFill="1" applyBorder="1" applyAlignment="1">
      <alignment horizontal="center" vertical="center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>
      <alignment horizontal="center" vertical="center"/>
    </xf>
    <xf numFmtId="0" fontId="14" fillId="5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1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2" xfId="0" applyFill="1" applyBorder="1" applyProtection="1">
      <protection locked="0"/>
    </xf>
    <xf numFmtId="0" fontId="0" fillId="4" borderId="3" xfId="0" applyFill="1" applyBorder="1" applyProtection="1">
      <protection locked="0"/>
    </xf>
    <xf numFmtId="0" fontId="2" fillId="0" borderId="0" xfId="0" applyFont="1" applyAlignment="1">
      <alignment horizontal="right"/>
    </xf>
    <xf numFmtId="0" fontId="5" fillId="4" borderId="2" xfId="0" applyFont="1" applyFill="1" applyBorder="1" applyProtection="1">
      <protection locked="0"/>
    </xf>
    <xf numFmtId="0" fontId="0" fillId="0" borderId="4" xfId="0" applyBorder="1"/>
    <xf numFmtId="0" fontId="0" fillId="0" borderId="3" xfId="0" applyBorder="1"/>
    <xf numFmtId="0" fontId="2" fillId="3" borderId="2" xfId="0" applyFont="1" applyFill="1" applyBorder="1" applyProtection="1">
      <protection locked="0"/>
    </xf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</cellXfs>
  <cellStyles count="1">
    <cellStyle name="Standaard" xfId="0" builtinId="0"/>
  </cellStyles>
  <dxfs count="16"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0</xdr:rowOff>
    </xdr:from>
    <xdr:to>
      <xdr:col>8</xdr:col>
      <xdr:colOff>601980</xdr:colOff>
      <xdr:row>11</xdr:row>
      <xdr:rowOff>53340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82CCBCD0-28EB-7BD8-847C-C7760B0109FF}"/>
            </a:ext>
          </a:extLst>
        </xdr:cNvPr>
        <xdr:cNvSpPr txBox="1"/>
      </xdr:nvSpPr>
      <xdr:spPr>
        <a:xfrm>
          <a:off x="60960" y="342900"/>
          <a:ext cx="4861560" cy="25298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VISIE EN DOEL VAN HET OPLEIDINGSPLAN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wil je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als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leerbedrijf bereiken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de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leerling/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 (bedrijfsdoelen)?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kwaliteitsverhoging, gastbeleving, continuïteit in keukenbrigade, bijdrage aan teamontwikkeling.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zijn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leerdoelen van de leerling/student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(persoonlijke ambities, uit het Persoonlijk Leerplan / SLB)?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Bijvoorbeeld: leren leidinggeven, leren plannen, verbeteren van communicatieve vaardigheden.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Hoe sluiten deze doelen aan bij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werkprocessen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uit het kwalificatiedossier?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Bijv. B1-K1-W4: Bereidt gerechten en componenten, of P2-K2-W1: Instrueert lerende medewerkers.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16</xdr:col>
      <xdr:colOff>0</xdr:colOff>
      <xdr:row>6</xdr:row>
      <xdr:rowOff>106680</xdr:rowOff>
    </xdr:to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E5B9A4CB-2A5C-26A9-87D5-6C3872831E75}"/>
            </a:ext>
          </a:extLst>
        </xdr:cNvPr>
        <xdr:cNvSpPr txBox="1"/>
      </xdr:nvSpPr>
      <xdr:spPr>
        <a:xfrm>
          <a:off x="4998720" y="342900"/>
          <a:ext cx="9570720" cy="4724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OPBOUW VAN HET OPLEIDINGPLAN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PER LEERJAAR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Het leerjaar wordt opgedeeld in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vier periodes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met elk een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thema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duidelijke ontwikkellijnen. Bijvoorbeeld:</a:t>
          </a:r>
        </a:p>
        <a:p>
          <a:endParaRPr lang="nl-NL" sz="1100"/>
        </a:p>
      </xdr:txBody>
    </xdr:sp>
    <xdr:clientData/>
  </xdr:twoCellAnchor>
  <xdr:twoCellAnchor>
    <xdr:from>
      <xdr:col>1</xdr:col>
      <xdr:colOff>7620</xdr:colOff>
      <xdr:row>11</xdr:row>
      <xdr:rowOff>129540</xdr:rowOff>
    </xdr:from>
    <xdr:to>
      <xdr:col>8</xdr:col>
      <xdr:colOff>601980</xdr:colOff>
      <xdr:row>17</xdr:row>
      <xdr:rowOff>137160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26035990-AB83-8126-20D5-B046AFB5FB68}"/>
            </a:ext>
          </a:extLst>
        </xdr:cNvPr>
        <xdr:cNvSpPr txBox="1"/>
      </xdr:nvSpPr>
      <xdr:spPr>
        <a:xfrm>
          <a:off x="60960" y="2948940"/>
          <a:ext cx="4861560" cy="217170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OPLEIDINGSACTIVITEITEN (WAT, WAAROM, HOE)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Bij opdrachten of taken wordt steeds beantwoord:</a:t>
          </a:r>
        </a:p>
        <a:p>
          <a:pPr lvl="0"/>
          <a:endParaRPr lang="nl-NL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</a:t>
          </a:r>
          <a:r>
            <a:rPr lang="nl-NL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Wat ga je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Waarom doe je dit (nut en noodzaak)?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C. Hoe ga je het doen?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D. Wat heb je ervoor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E. Welke voorbereidingen tref je?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F. Hoeveel tijd heb je nodig?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G. Wat is het gewenste resultaat (criteria of bewijs)?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Deze structuur biedt een overzichtelijke instructieve manier</a:t>
          </a:r>
          <a:r>
            <a:rPr lang="nl-NL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werken. 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nl-NL" sz="1100"/>
        </a:p>
      </xdr:txBody>
    </xdr:sp>
    <xdr:clientData/>
  </xdr:twoCellAnchor>
  <xdr:twoCellAnchor>
    <xdr:from>
      <xdr:col>10</xdr:col>
      <xdr:colOff>0</xdr:colOff>
      <xdr:row>12</xdr:row>
      <xdr:rowOff>83820</xdr:rowOff>
    </xdr:from>
    <xdr:to>
      <xdr:col>16</xdr:col>
      <xdr:colOff>0</xdr:colOff>
      <xdr:row>14</xdr:row>
      <xdr:rowOff>53340</xdr:rowOff>
    </xdr:to>
    <xdr:sp macro="" textlink="">
      <xdr:nvSpPr>
        <xdr:cNvPr id="5" name="Tekstvak 4">
          <a:extLst>
            <a:ext uri="{FF2B5EF4-FFF2-40B4-BE49-F238E27FC236}">
              <a16:creationId xmlns:a16="http://schemas.microsoft.com/office/drawing/2014/main" id="{44F06A12-21E8-64A2-1922-4A99C2B67A9C}"/>
            </a:ext>
          </a:extLst>
        </xdr:cNvPr>
        <xdr:cNvSpPr txBox="1"/>
      </xdr:nvSpPr>
      <xdr:spPr>
        <a:xfrm>
          <a:off x="4998720" y="3512820"/>
          <a:ext cx="9570720" cy="64008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AFSPRAKEN OVER BEGELEIDING EN EVALUATIE</a:t>
          </a:r>
        </a:p>
        <a:p>
          <a:r>
            <a:rPr lang="nl-NL" sz="1100"/>
            <a:t>Vanauit school streven</a:t>
          </a:r>
          <a:r>
            <a:rPr lang="nl-NL" sz="1100" baseline="0"/>
            <a:t> we naar drie contact momenten. Bij werk/stage langer dan 10 achtereengesloten weken streven we naar 2 fysieke bezoeken.  Deze kunnen in de planning 'Begeleiding en Evaluatie worden opgenomen' </a:t>
          </a:r>
          <a:r>
            <a:rPr lang="nl-NL" sz="1100"/>
            <a:t>Bijvoorbeeld:</a:t>
          </a:r>
        </a:p>
      </xdr:txBody>
    </xdr:sp>
    <xdr:clientData/>
  </xdr:twoCellAnchor>
  <xdr:twoCellAnchor>
    <xdr:from>
      <xdr:col>1</xdr:col>
      <xdr:colOff>7620</xdr:colOff>
      <xdr:row>17</xdr:row>
      <xdr:rowOff>205740</xdr:rowOff>
    </xdr:from>
    <xdr:to>
      <xdr:col>8</xdr:col>
      <xdr:colOff>601980</xdr:colOff>
      <xdr:row>23</xdr:row>
      <xdr:rowOff>0</xdr:rowOff>
    </xdr:to>
    <xdr:sp macro="" textlink="">
      <xdr:nvSpPr>
        <xdr:cNvPr id="6" name="Tekstvak 5">
          <a:extLst>
            <a:ext uri="{FF2B5EF4-FFF2-40B4-BE49-F238E27FC236}">
              <a16:creationId xmlns:a16="http://schemas.microsoft.com/office/drawing/2014/main" id="{EDF57812-80C6-5522-E41A-4BED4019900A}"/>
            </a:ext>
          </a:extLst>
        </xdr:cNvPr>
        <xdr:cNvSpPr txBox="1"/>
      </xdr:nvSpPr>
      <xdr:spPr>
        <a:xfrm>
          <a:off x="60960" y="5189220"/>
          <a:ext cx="4861560" cy="4015740"/>
        </a:xfrm>
        <a:prstGeom prst="rect">
          <a:avLst/>
        </a:prstGeom>
        <a:solidFill>
          <a:schemeClr val="lt1"/>
        </a:solidFill>
        <a:ln w="952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EXAMENWERK / PRAKTIJKBEOORDELEN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Koppeling met werkprocessen en examencriteria (uit Examenwerk.nl)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Vermelding van bewijsstukken:</a:t>
          </a:r>
        </a:p>
        <a:p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BPV-opdrachten vanuit school (indien van toepassing).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Meetmomenten (bij voorkeur drie per jaar).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Urenregistratie / Goedgekeurde uren (per week onderhouden).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Reflectieverslagen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Beoordelingsformulieren vanuit school (indien van toepassing)</a:t>
          </a:r>
        </a:p>
        <a:p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AANVULLENDE TIPS VOOR PRAKTIJKOPLEIDERS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Koppel per periode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verschillende werkprocessen uit verschillende Kerntaken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uit het kwalificatiedossier aan de praktijk.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Verwerk in elk voortgangsgesprek een reflectievraag:</a:t>
          </a:r>
          <a:b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“Wat heb je geleerd, wat ging goed, wat wil je verbeteren?”</a:t>
          </a: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Maak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van de proeftijd een inwerkperiode met duidelijke doelstellingen en verwachtingen. Evalueer/reflecteer en beoordeel per week.</a:t>
          </a:r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nl-NL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 tijdig overleg met de </a:t>
          </a:r>
          <a:r>
            <a:rPr lang="nl-N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BPV-begeleider van school</a:t>
          </a:r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bij twijfels of</a:t>
          </a:r>
          <a:r>
            <a:rPr lang="nl-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pPr lvl="0"/>
          <a:r>
            <a:rPr lang="nl-NL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voortgangsproblemen.</a:t>
          </a:r>
        </a:p>
        <a:p>
          <a:endParaRPr lang="nl-NL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  <wetp:taskpane dockstate="right" visibility="0" width="438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DB21184B-5CC6-4836-8899-49E2954D1A96}">
  <we:reference id="wa200005502" version="1.0.0.12" store="nl-NL" storeType="OMEX"/>
  <we:alternateReferences>
    <we:reference id="wa200005502" version="1.0.0.12" store="wa200005502" storeType="OMEX"/>
  </we:alternateReferences>
  <we:properties>
    <we:property name="docId" value="&quot;kQPKEKrvfQvQtNg6ELUq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215E2E8F-41B7-4187-BD29-BAC535C131F3}">
  <we:reference id="wa200005271" version="2.6.1.0" store="nl-NL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4E164F93-E9B3-495D-BF19-4F51685AE442}">
  <we:reference id="wa104178772" version="1.0.0.0" store="nl-NL" storeType="OMEX"/>
  <we:alternateReferences>
    <we:reference id="wa104178772" version="1.0.0.0" store="wa104178772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62E3-E857-40D0-8A53-8E0FB19A3ECD}">
  <dimension ref="B1:S33"/>
  <sheetViews>
    <sheetView showGridLines="0" showRowColHeaders="0" zoomScaleNormal="100" workbookViewId="0">
      <selection activeCell="B2" sqref="B2:P2"/>
    </sheetView>
  </sheetViews>
  <sheetFormatPr defaultRowHeight="14.4" x14ac:dyDescent="0.3"/>
  <cols>
    <col min="1" max="1" width="0.6640625" customWidth="1"/>
    <col min="10" max="10" width="1" customWidth="1"/>
    <col min="11" max="11" width="8" customWidth="1"/>
    <col min="12" max="12" width="25.6640625" customWidth="1"/>
    <col min="13" max="13" width="28.44140625" customWidth="1"/>
    <col min="14" max="16" width="25.6640625" customWidth="1"/>
    <col min="17" max="17" width="0.88671875" customWidth="1"/>
    <col min="19" max="19" width="2.6640625" customWidth="1"/>
  </cols>
  <sheetData>
    <row r="1" spans="2:19" ht="9" customHeight="1" x14ac:dyDescent="0.3"/>
    <row r="2" spans="2:19" s="29" customFormat="1" ht="14.4" customHeight="1" x14ac:dyDescent="0.3">
      <c r="B2" s="89" t="s">
        <v>0</v>
      </c>
      <c r="C2" s="89"/>
      <c r="D2" s="89"/>
      <c r="E2" s="89"/>
      <c r="F2" s="89"/>
      <c r="G2" s="89"/>
      <c r="H2" s="89"/>
      <c r="I2" s="89"/>
      <c r="J2" s="90"/>
      <c r="K2" s="90"/>
      <c r="L2" s="90"/>
      <c r="M2" s="90"/>
      <c r="N2" s="90"/>
      <c r="O2" s="90"/>
      <c r="P2" s="90"/>
    </row>
    <row r="3" spans="2:19" ht="7.95" customHeight="1" x14ac:dyDescent="0.3"/>
    <row r="4" spans="2:19" ht="14.4" hidden="1" customHeight="1" x14ac:dyDescent="0.3">
      <c r="B4" s="9" t="s">
        <v>1</v>
      </c>
    </row>
    <row r="5" spans="2:19" ht="14.4" customHeight="1" x14ac:dyDescent="0.3">
      <c r="R5" s="79" t="e" vm="1">
        <v>#VALUE!</v>
      </c>
      <c r="S5" s="79"/>
    </row>
    <row r="6" spans="2:19" ht="14.4" customHeight="1" x14ac:dyDescent="0.3">
      <c r="B6" s="28"/>
      <c r="C6" s="28"/>
      <c r="D6" s="28"/>
      <c r="E6" s="28"/>
      <c r="F6" s="28"/>
      <c r="G6" s="28"/>
      <c r="H6" s="28"/>
      <c r="R6" s="79"/>
      <c r="S6" s="79"/>
    </row>
    <row r="7" spans="2:19" x14ac:dyDescent="0.3">
      <c r="B7" s="28"/>
      <c r="C7" s="28"/>
      <c r="D7" s="28"/>
      <c r="E7" s="28"/>
      <c r="F7" s="28"/>
      <c r="G7" s="28"/>
      <c r="H7" s="28"/>
      <c r="R7" s="79"/>
      <c r="S7" s="79"/>
    </row>
    <row r="8" spans="2:19" ht="19.95" customHeight="1" x14ac:dyDescent="0.3">
      <c r="B8" s="28"/>
      <c r="C8" s="28"/>
      <c r="D8" s="28"/>
      <c r="E8" s="28"/>
      <c r="F8" s="28"/>
      <c r="G8" s="28"/>
      <c r="H8" s="28"/>
      <c r="K8" s="31" t="s">
        <v>2</v>
      </c>
      <c r="L8" s="31" t="s">
        <v>3</v>
      </c>
      <c r="M8" s="31" t="s">
        <v>4</v>
      </c>
      <c r="N8" s="95" t="s">
        <v>5</v>
      </c>
      <c r="O8" s="96"/>
      <c r="P8" s="31" t="s">
        <v>6</v>
      </c>
      <c r="R8" s="79"/>
      <c r="S8" s="79"/>
    </row>
    <row r="9" spans="2:19" ht="49.2" customHeight="1" x14ac:dyDescent="0.3">
      <c r="B9" s="28"/>
      <c r="C9" s="28"/>
      <c r="D9" s="28"/>
      <c r="E9" s="28"/>
      <c r="F9" s="28"/>
      <c r="G9" s="28"/>
      <c r="H9" s="28"/>
      <c r="K9" s="33">
        <v>1</v>
      </c>
      <c r="L9" s="35" t="s">
        <v>7</v>
      </c>
      <c r="M9" s="35" t="s">
        <v>8</v>
      </c>
      <c r="N9" s="97" t="s">
        <v>9</v>
      </c>
      <c r="O9" s="96"/>
      <c r="P9" s="35" t="s">
        <v>10</v>
      </c>
      <c r="Q9" s="30"/>
      <c r="R9" s="27" t="s">
        <v>11</v>
      </c>
    </row>
    <row r="10" spans="2:19" ht="34.200000000000003" customHeight="1" x14ac:dyDescent="0.3">
      <c r="B10" s="28"/>
      <c r="C10" s="28"/>
      <c r="D10" s="28"/>
      <c r="E10" s="28"/>
      <c r="F10" s="28"/>
      <c r="G10" s="28"/>
      <c r="H10" s="28"/>
      <c r="K10" s="34">
        <v>2</v>
      </c>
      <c r="L10" s="36" t="s">
        <v>12</v>
      </c>
      <c r="M10" s="36" t="s">
        <v>13</v>
      </c>
      <c r="N10" s="98" t="s">
        <v>14</v>
      </c>
      <c r="O10" s="96"/>
      <c r="P10" s="36" t="s">
        <v>15</v>
      </c>
      <c r="Q10" s="27"/>
      <c r="R10" s="27"/>
    </row>
    <row r="11" spans="2:19" ht="48.6" customHeight="1" x14ac:dyDescent="0.3">
      <c r="B11" s="28"/>
      <c r="C11" s="28"/>
      <c r="D11" s="28"/>
      <c r="E11" s="28"/>
      <c r="F11" s="28"/>
      <c r="G11" s="28"/>
      <c r="H11" s="28"/>
      <c r="K11" s="33">
        <v>3</v>
      </c>
      <c r="L11" s="35" t="s">
        <v>16</v>
      </c>
      <c r="M11" s="35" t="s">
        <v>17</v>
      </c>
      <c r="N11" s="97" t="s">
        <v>18</v>
      </c>
      <c r="O11" s="96"/>
      <c r="P11" s="35" t="s">
        <v>19</v>
      </c>
      <c r="Q11" s="27"/>
      <c r="R11" s="27"/>
    </row>
    <row r="12" spans="2:19" ht="48" customHeight="1" x14ac:dyDescent="0.3">
      <c r="B12" s="28"/>
      <c r="C12" s="28"/>
      <c r="D12" s="28"/>
      <c r="E12" s="28"/>
      <c r="F12" s="28"/>
      <c r="G12" s="28"/>
      <c r="H12" s="28"/>
      <c r="K12" s="34">
        <v>4</v>
      </c>
      <c r="L12" s="36" t="s">
        <v>20</v>
      </c>
      <c r="M12" s="36" t="s">
        <v>21</v>
      </c>
      <c r="N12" s="98" t="s">
        <v>22</v>
      </c>
      <c r="O12" s="96"/>
      <c r="P12" s="36" t="s">
        <v>23</v>
      </c>
      <c r="Q12" s="27"/>
      <c r="R12" s="27"/>
    </row>
    <row r="13" spans="2:19" ht="45.6" customHeight="1" x14ac:dyDescent="0.3">
      <c r="B13" s="28"/>
      <c r="C13" s="28"/>
      <c r="D13" s="28"/>
      <c r="E13" s="28"/>
      <c r="F13" s="28"/>
      <c r="G13" s="28"/>
      <c r="H13" s="28"/>
      <c r="Q13" s="27"/>
      <c r="R13" s="27"/>
    </row>
    <row r="14" spans="2:19" ht="7.2" customHeight="1" x14ac:dyDescent="0.3">
      <c r="B14" s="28"/>
      <c r="C14" s="28"/>
      <c r="D14" s="28"/>
      <c r="E14" s="28"/>
      <c r="F14" s="28"/>
      <c r="G14" s="28"/>
      <c r="H14" s="28"/>
      <c r="Q14" s="27"/>
      <c r="R14" s="27"/>
    </row>
    <row r="15" spans="2:19" ht="10.199999999999999" customHeight="1" x14ac:dyDescent="0.3">
      <c r="B15" s="28"/>
      <c r="C15" s="28"/>
      <c r="D15" s="28"/>
      <c r="E15" s="28"/>
      <c r="F15" s="28"/>
      <c r="G15" s="28"/>
      <c r="H15" s="28"/>
    </row>
    <row r="16" spans="2:19" ht="19.95" customHeight="1" x14ac:dyDescent="0.3">
      <c r="B16" s="28"/>
      <c r="C16" s="28"/>
      <c r="D16" s="28"/>
      <c r="E16" s="28"/>
      <c r="F16" s="28"/>
      <c r="G16" s="28"/>
      <c r="H16" s="28"/>
      <c r="K16" s="91" t="s">
        <v>24</v>
      </c>
      <c r="L16" s="92"/>
      <c r="M16" s="32" t="s">
        <v>25</v>
      </c>
      <c r="N16" s="32" t="s">
        <v>26</v>
      </c>
      <c r="O16" s="32" t="s">
        <v>27</v>
      </c>
      <c r="P16" s="32" t="s">
        <v>28</v>
      </c>
    </row>
    <row r="17" spans="2:16" ht="40.200000000000003" customHeight="1" x14ac:dyDescent="0.3">
      <c r="B17" s="28"/>
      <c r="C17" s="28"/>
      <c r="D17" s="28"/>
      <c r="E17" s="28"/>
      <c r="F17" s="28"/>
      <c r="G17" s="28"/>
      <c r="H17" s="28"/>
      <c r="K17" s="93" t="s">
        <v>29</v>
      </c>
      <c r="L17" s="94"/>
      <c r="M17" s="37" t="s">
        <v>30</v>
      </c>
      <c r="N17" s="37" t="s">
        <v>31</v>
      </c>
      <c r="O17" s="37" t="s">
        <v>32</v>
      </c>
      <c r="P17" s="37" t="s">
        <v>33</v>
      </c>
    </row>
    <row r="18" spans="2:16" ht="70.95" customHeight="1" x14ac:dyDescent="0.3">
      <c r="B18" s="28"/>
      <c r="C18" s="28"/>
      <c r="D18" s="28"/>
      <c r="E18" s="28"/>
      <c r="F18" s="28"/>
      <c r="G18" s="28"/>
      <c r="H18" s="28"/>
      <c r="K18" s="84" t="s">
        <v>34</v>
      </c>
      <c r="L18" s="86"/>
      <c r="M18" s="38" t="s">
        <v>35</v>
      </c>
      <c r="N18" s="38" t="s">
        <v>36</v>
      </c>
      <c r="O18" s="38" t="s">
        <v>37</v>
      </c>
      <c r="P18" s="38" t="s">
        <v>38</v>
      </c>
    </row>
    <row r="19" spans="2:16" ht="40.200000000000003" customHeight="1" x14ac:dyDescent="0.3">
      <c r="B19" s="28"/>
      <c r="C19" s="28"/>
      <c r="D19" s="28"/>
      <c r="E19" s="28"/>
      <c r="F19" s="28"/>
      <c r="G19" s="28"/>
      <c r="H19" s="28"/>
      <c r="K19" s="93" t="s">
        <v>39</v>
      </c>
      <c r="L19" s="94"/>
      <c r="M19" s="37" t="s">
        <v>40</v>
      </c>
      <c r="N19" s="37" t="s">
        <v>31</v>
      </c>
      <c r="O19" s="37" t="s">
        <v>32</v>
      </c>
      <c r="P19" s="37" t="s">
        <v>41</v>
      </c>
    </row>
    <row r="20" spans="2:16" ht="71.400000000000006" customHeight="1" x14ac:dyDescent="0.3">
      <c r="B20" s="28"/>
      <c r="C20" s="28"/>
      <c r="D20" s="28"/>
      <c r="E20" s="28"/>
      <c r="F20" s="28"/>
      <c r="G20" s="28"/>
      <c r="H20" s="28"/>
      <c r="K20" s="84" t="s">
        <v>42</v>
      </c>
      <c r="L20" s="85"/>
      <c r="M20" s="38" t="s">
        <v>43</v>
      </c>
      <c r="N20" s="38" t="s">
        <v>36</v>
      </c>
      <c r="O20" s="38" t="s">
        <v>37</v>
      </c>
      <c r="P20" s="38" t="s">
        <v>38</v>
      </c>
    </row>
    <row r="21" spans="2:16" ht="40.200000000000003" customHeight="1" x14ac:dyDescent="0.3">
      <c r="B21" s="28"/>
      <c r="C21" s="28"/>
      <c r="D21" s="28"/>
      <c r="E21" s="28"/>
      <c r="F21" s="28"/>
      <c r="G21" s="28"/>
      <c r="H21" s="28"/>
      <c r="K21" s="82" t="s">
        <v>44</v>
      </c>
      <c r="L21" s="83"/>
      <c r="M21" s="37" t="s">
        <v>45</v>
      </c>
      <c r="N21" s="37" t="s">
        <v>31</v>
      </c>
      <c r="O21" s="37" t="s">
        <v>32</v>
      </c>
      <c r="P21" s="37" t="s">
        <v>46</v>
      </c>
    </row>
    <row r="22" spans="2:16" ht="40.200000000000003" customHeight="1" x14ac:dyDescent="0.3">
      <c r="B22" s="28"/>
      <c r="C22" s="28"/>
      <c r="D22" s="28"/>
      <c r="E22" s="28"/>
      <c r="F22" s="28"/>
      <c r="G22" s="28"/>
      <c r="H22" s="28"/>
      <c r="K22" s="80" t="s">
        <v>47</v>
      </c>
      <c r="L22" s="81"/>
      <c r="M22" s="38" t="s">
        <v>48</v>
      </c>
      <c r="N22" s="38" t="s">
        <v>31</v>
      </c>
      <c r="O22" s="38" t="s">
        <v>32</v>
      </c>
      <c r="P22" s="38" t="s">
        <v>49</v>
      </c>
    </row>
    <row r="23" spans="2:16" ht="71.400000000000006" customHeight="1" x14ac:dyDescent="0.3">
      <c r="K23" s="87" t="s">
        <v>50</v>
      </c>
      <c r="L23" s="88"/>
      <c r="M23" s="37" t="s">
        <v>51</v>
      </c>
      <c r="N23" s="37" t="s">
        <v>36</v>
      </c>
      <c r="O23" s="37" t="s">
        <v>37</v>
      </c>
      <c r="P23" s="37" t="s">
        <v>38</v>
      </c>
    </row>
    <row r="24" spans="2:16" ht="7.2" customHeight="1" x14ac:dyDescent="0.3"/>
    <row r="25" spans="2:16" ht="26.4" customHeight="1" x14ac:dyDescent="0.3"/>
    <row r="28" spans="2:16" x14ac:dyDescent="0.3">
      <c r="B28" s="28"/>
      <c r="C28" s="28"/>
      <c r="D28" s="28"/>
      <c r="E28" s="28"/>
      <c r="F28" s="28"/>
      <c r="G28" s="28"/>
      <c r="H28" s="28"/>
    </row>
    <row r="29" spans="2:16" x14ac:dyDescent="0.3">
      <c r="B29" s="28"/>
      <c r="C29" s="28"/>
      <c r="D29" s="28"/>
      <c r="E29" s="28"/>
      <c r="F29" s="28"/>
      <c r="G29" s="28"/>
      <c r="H29" s="28"/>
    </row>
    <row r="30" spans="2:16" x14ac:dyDescent="0.3">
      <c r="B30" s="28"/>
      <c r="C30" s="28"/>
      <c r="D30" s="28"/>
      <c r="E30" s="28"/>
      <c r="F30" s="28"/>
      <c r="G30" s="28"/>
      <c r="H30" s="28"/>
    </row>
    <row r="31" spans="2:16" x14ac:dyDescent="0.3">
      <c r="B31" s="28"/>
      <c r="C31" s="28"/>
      <c r="D31" s="28"/>
      <c r="E31" s="28"/>
      <c r="F31" s="28"/>
      <c r="G31" s="28"/>
      <c r="H31" s="28"/>
    </row>
    <row r="32" spans="2:16" x14ac:dyDescent="0.3">
      <c r="B32" s="28"/>
      <c r="C32" s="28"/>
      <c r="D32" s="28"/>
      <c r="E32" s="28"/>
      <c r="F32" s="28"/>
      <c r="G32" s="28"/>
      <c r="H32" s="28"/>
    </row>
    <row r="33" spans="2:8" x14ac:dyDescent="0.3">
      <c r="B33" s="28"/>
      <c r="C33" s="28"/>
      <c r="D33" s="28"/>
      <c r="E33" s="28"/>
      <c r="F33" s="28"/>
      <c r="G33" s="28"/>
      <c r="H33" s="28"/>
    </row>
  </sheetData>
  <sheetProtection algorithmName="SHA-512" hashValue="nc0453opT965OpY6hIcBp201RJTjaTT8M6zrHVu7np7YjBHge07G886dT9NJvqACo/E/QB8fNxZEcaJm8f1NsA==" saltValue="Fjy23cQYG9y8JXLCfEcJcA==" spinCount="100000" sheet="1" objects="1" scenarios="1"/>
  <mergeCells count="15">
    <mergeCell ref="K23:L23"/>
    <mergeCell ref="B2:P2"/>
    <mergeCell ref="K16:L16"/>
    <mergeCell ref="K17:L17"/>
    <mergeCell ref="K19:L19"/>
    <mergeCell ref="N8:O8"/>
    <mergeCell ref="N9:O9"/>
    <mergeCell ref="N10:O10"/>
    <mergeCell ref="N11:O11"/>
    <mergeCell ref="N12:O12"/>
    <mergeCell ref="R5:S8"/>
    <mergeCell ref="K22:L22"/>
    <mergeCell ref="K21:L21"/>
    <mergeCell ref="K20:L20"/>
    <mergeCell ref="K18:L18"/>
  </mergeCells>
  <pageMargins left="0.25" right="0.25" top="0.75" bottom="0.75" header="0.3" footer="0.3"/>
  <pageSetup paperSize="9" scale="61" orientation="landscape" r:id="rId1"/>
  <rowBreaks count="1" manualBreakCount="1">
    <brk id="2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B2BD-4F05-40C8-9361-DB7315B6B459}">
  <sheetPr codeName="Blad1">
    <pageSetUpPr fitToPage="1"/>
  </sheetPr>
  <dimension ref="B1:M106"/>
  <sheetViews>
    <sheetView showGridLines="0" tabSelected="1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E2" sqref="E2:G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65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36</v>
      </c>
      <c r="C15" s="13" t="s">
        <v>78</v>
      </c>
      <c r="D15" s="50">
        <v>45901</v>
      </c>
      <c r="E15" s="53" t="s">
        <v>79</v>
      </c>
      <c r="F15" s="53" t="s">
        <v>80</v>
      </c>
      <c r="G15" s="53" t="s">
        <v>81</v>
      </c>
      <c r="H15" s="53" t="s">
        <v>82</v>
      </c>
      <c r="I15" s="53" t="s">
        <v>83</v>
      </c>
      <c r="J15" s="53" t="s">
        <v>84</v>
      </c>
      <c r="K15" s="39" t="s">
        <v>85</v>
      </c>
      <c r="L15" s="39" t="s">
        <v>96</v>
      </c>
      <c r="M15" s="65" t="s">
        <v>86</v>
      </c>
    </row>
    <row r="16" spans="2:13" ht="90" customHeight="1" x14ac:dyDescent="0.3">
      <c r="B16" s="14">
        <f>B15</f>
        <v>36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x14ac:dyDescent="0.3">
      <c r="B17" s="14">
        <f>B15</f>
        <v>36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x14ac:dyDescent="0.3">
      <c r="B18" s="14">
        <f>B15</f>
        <v>36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x14ac:dyDescent="0.3">
      <c r="B19" s="14">
        <f>B15</f>
        <v>36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x14ac:dyDescent="0.3">
      <c r="B20" s="14">
        <f>B15</f>
        <v>36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Bot="1" x14ac:dyDescent="0.35">
      <c r="B21" s="14">
        <f>B15</f>
        <v>36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x14ac:dyDescent="0.3">
      <c r="B22" s="4">
        <v>37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x14ac:dyDescent="0.3">
      <c r="B23" s="19">
        <f>B22</f>
        <v>37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x14ac:dyDescent="0.3">
      <c r="B24" s="19">
        <f>B22</f>
        <v>37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x14ac:dyDescent="0.3">
      <c r="B25" s="19">
        <f>B22</f>
        <v>37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x14ac:dyDescent="0.3">
      <c r="B26" s="19">
        <f>B22</f>
        <v>37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x14ac:dyDescent="0.3">
      <c r="B27" s="19">
        <f>B22</f>
        <v>37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Bot="1" x14ac:dyDescent="0.35">
      <c r="B28" s="19">
        <f>B22</f>
        <v>37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x14ac:dyDescent="0.3">
      <c r="B29" s="3">
        <v>38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x14ac:dyDescent="0.3">
      <c r="B30" s="14">
        <f>B29</f>
        <v>38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x14ac:dyDescent="0.3">
      <c r="B31" s="14">
        <f>B29</f>
        <v>38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x14ac:dyDescent="0.3">
      <c r="B32" s="14">
        <f>B29</f>
        <v>38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x14ac:dyDescent="0.3">
      <c r="B33" s="14">
        <f>B29</f>
        <v>38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x14ac:dyDescent="0.3">
      <c r="B34" s="14">
        <f>B29</f>
        <v>38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Bot="1" x14ac:dyDescent="0.35">
      <c r="B35" s="14">
        <f>B29</f>
        <v>38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68"/>
    </row>
    <row r="36" spans="2:13" ht="90" customHeight="1" thickTop="1" x14ac:dyDescent="0.3">
      <c r="B36" s="4">
        <v>39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69"/>
    </row>
    <row r="37" spans="2:13" ht="90" customHeight="1" x14ac:dyDescent="0.3">
      <c r="B37" s="19">
        <f>B36</f>
        <v>39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67"/>
    </row>
    <row r="38" spans="2:13" ht="90" customHeight="1" x14ac:dyDescent="0.3">
      <c r="B38" s="19">
        <f>B36</f>
        <v>39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66"/>
    </row>
    <row r="39" spans="2:13" ht="90" customHeight="1" x14ac:dyDescent="0.3">
      <c r="B39" s="19">
        <f>B36</f>
        <v>39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67"/>
    </row>
    <row r="40" spans="2:13" ht="90" customHeight="1" x14ac:dyDescent="0.3">
      <c r="B40" s="19">
        <f>B36</f>
        <v>39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66"/>
    </row>
    <row r="41" spans="2:13" ht="90" customHeight="1" x14ac:dyDescent="0.3">
      <c r="B41" s="19">
        <f>B36</f>
        <v>39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67"/>
    </row>
    <row r="42" spans="2:13" ht="90" customHeight="1" thickBot="1" x14ac:dyDescent="0.35">
      <c r="B42" s="19">
        <f>B36</f>
        <v>39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70"/>
    </row>
    <row r="43" spans="2:13" ht="90" customHeight="1" thickTop="1" x14ac:dyDescent="0.3">
      <c r="B43" s="3">
        <v>40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65"/>
    </row>
    <row r="44" spans="2:13" ht="90" customHeight="1" x14ac:dyDescent="0.3">
      <c r="B44" s="14">
        <f>B43</f>
        <v>40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66"/>
    </row>
    <row r="45" spans="2:13" ht="90" customHeight="1" x14ac:dyDescent="0.3">
      <c r="B45" s="14">
        <f>B43</f>
        <v>40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67"/>
    </row>
    <row r="46" spans="2:13" ht="90" customHeight="1" x14ac:dyDescent="0.3">
      <c r="B46" s="14">
        <f>B43</f>
        <v>40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66"/>
    </row>
    <row r="47" spans="2:13" ht="90" customHeight="1" x14ac:dyDescent="0.3">
      <c r="B47" s="14">
        <f>B43</f>
        <v>40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67"/>
    </row>
    <row r="48" spans="2:13" ht="90" customHeight="1" x14ac:dyDescent="0.3">
      <c r="B48" s="14">
        <f>B43</f>
        <v>40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66"/>
    </row>
    <row r="49" spans="2:13" ht="90" customHeight="1" thickBot="1" x14ac:dyDescent="0.35">
      <c r="B49" s="14">
        <f>B43</f>
        <v>40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68"/>
    </row>
    <row r="50" spans="2:13" ht="90" customHeight="1" thickTop="1" x14ac:dyDescent="0.3">
      <c r="B50" s="4">
        <v>41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69"/>
    </row>
    <row r="51" spans="2:13" ht="90" customHeight="1" x14ac:dyDescent="0.3">
      <c r="B51" s="19">
        <f>B50</f>
        <v>41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67"/>
    </row>
    <row r="52" spans="2:13" ht="90" customHeight="1" x14ac:dyDescent="0.3">
      <c r="B52" s="19">
        <f>B50</f>
        <v>41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66"/>
    </row>
    <row r="53" spans="2:13" ht="90" customHeight="1" x14ac:dyDescent="0.3">
      <c r="B53" s="19">
        <f>B50</f>
        <v>41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67"/>
    </row>
    <row r="54" spans="2:13" ht="90" customHeight="1" x14ac:dyDescent="0.3">
      <c r="B54" s="19">
        <f>B50</f>
        <v>41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66"/>
    </row>
    <row r="55" spans="2:13" ht="90" customHeight="1" x14ac:dyDescent="0.3">
      <c r="B55" s="19">
        <f>B50</f>
        <v>41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67"/>
    </row>
    <row r="56" spans="2:13" ht="90" customHeight="1" thickBot="1" x14ac:dyDescent="0.35">
      <c r="B56" s="19">
        <f>B50</f>
        <v>41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70"/>
    </row>
    <row r="57" spans="2:13" ht="90" customHeight="1" thickTop="1" x14ac:dyDescent="0.3">
      <c r="B57" s="3">
        <v>42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65"/>
    </row>
    <row r="58" spans="2:13" ht="90" customHeight="1" x14ac:dyDescent="0.3">
      <c r="B58" s="14">
        <f>B57</f>
        <v>42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66"/>
    </row>
    <row r="59" spans="2:13" ht="90" customHeight="1" x14ac:dyDescent="0.3">
      <c r="B59" s="14">
        <f>B57</f>
        <v>42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67"/>
    </row>
    <row r="60" spans="2:13" ht="90" customHeight="1" x14ac:dyDescent="0.3">
      <c r="B60" s="14">
        <f>B57</f>
        <v>42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66"/>
    </row>
    <row r="61" spans="2:13" ht="90" customHeight="1" x14ac:dyDescent="0.3">
      <c r="B61" s="14">
        <f>B57</f>
        <v>42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67"/>
    </row>
    <row r="62" spans="2:13" ht="90" customHeight="1" x14ac:dyDescent="0.3">
      <c r="B62" s="14">
        <f>B57</f>
        <v>42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66"/>
    </row>
    <row r="63" spans="2:13" ht="90" customHeight="1" thickBot="1" x14ac:dyDescent="0.35">
      <c r="B63" s="14">
        <f>B57</f>
        <v>42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68"/>
    </row>
    <row r="64" spans="2:13" ht="90" customHeight="1" thickTop="1" x14ac:dyDescent="0.3">
      <c r="B64" s="4">
        <v>43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69"/>
    </row>
    <row r="65" spans="2:13" ht="90" customHeight="1" x14ac:dyDescent="0.3">
      <c r="B65" s="19">
        <f>B64</f>
        <v>43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67"/>
    </row>
    <row r="66" spans="2:13" ht="90" customHeight="1" x14ac:dyDescent="0.3">
      <c r="B66" s="19">
        <f>B64</f>
        <v>43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66"/>
    </row>
    <row r="67" spans="2:13" ht="90" customHeight="1" x14ac:dyDescent="0.3">
      <c r="B67" s="19">
        <f>B64</f>
        <v>43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67"/>
    </row>
    <row r="68" spans="2:13" ht="90" customHeight="1" x14ac:dyDescent="0.3">
      <c r="B68" s="19">
        <f>B64</f>
        <v>43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66"/>
    </row>
    <row r="69" spans="2:13" ht="90" customHeight="1" x14ac:dyDescent="0.3">
      <c r="B69" s="19">
        <f>B64</f>
        <v>43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67"/>
    </row>
    <row r="70" spans="2:13" ht="90" customHeight="1" thickBot="1" x14ac:dyDescent="0.35">
      <c r="B70" s="19">
        <f>B64</f>
        <v>43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70"/>
    </row>
    <row r="71" spans="2:13" ht="90" customHeight="1" thickTop="1" x14ac:dyDescent="0.3">
      <c r="B71" s="3">
        <v>44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65"/>
    </row>
    <row r="72" spans="2:13" ht="90" customHeight="1" x14ac:dyDescent="0.3">
      <c r="B72" s="14">
        <f>B71</f>
        <v>44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66"/>
    </row>
    <row r="73" spans="2:13" ht="90" customHeight="1" x14ac:dyDescent="0.3">
      <c r="B73" s="14">
        <f>B71</f>
        <v>44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67"/>
    </row>
    <row r="74" spans="2:13" ht="90" customHeight="1" x14ac:dyDescent="0.3">
      <c r="B74" s="14">
        <f>B71</f>
        <v>44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66"/>
    </row>
    <row r="75" spans="2:13" ht="90" customHeight="1" x14ac:dyDescent="0.3">
      <c r="B75" s="14">
        <f>B71</f>
        <v>44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67"/>
    </row>
    <row r="76" spans="2:13" ht="90" customHeight="1" x14ac:dyDescent="0.3">
      <c r="B76" s="14">
        <f>B71</f>
        <v>44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66"/>
    </row>
    <row r="77" spans="2:13" ht="90" customHeight="1" thickBot="1" x14ac:dyDescent="0.35">
      <c r="B77" s="14">
        <f>B71</f>
        <v>44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68"/>
    </row>
    <row r="78" spans="2:13" ht="90" customHeight="1" thickTop="1" x14ac:dyDescent="0.3">
      <c r="B78" s="4">
        <v>45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69"/>
    </row>
    <row r="79" spans="2:13" ht="90" customHeight="1" x14ac:dyDescent="0.3">
      <c r="B79" s="19">
        <f>B78</f>
        <v>45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67"/>
    </row>
    <row r="80" spans="2:13" ht="90" customHeight="1" x14ac:dyDescent="0.3">
      <c r="B80" s="19">
        <f>B78</f>
        <v>45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66"/>
    </row>
    <row r="81" spans="2:13" ht="90" customHeight="1" x14ac:dyDescent="0.3">
      <c r="B81" s="19">
        <f>B78</f>
        <v>45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67"/>
    </row>
    <row r="82" spans="2:13" ht="90" customHeight="1" x14ac:dyDescent="0.3">
      <c r="B82" s="19">
        <f>B78</f>
        <v>45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66"/>
    </row>
    <row r="83" spans="2:13" ht="90" customHeight="1" x14ac:dyDescent="0.3">
      <c r="B83" s="19">
        <f>B78</f>
        <v>45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67"/>
    </row>
    <row r="84" spans="2:13" ht="90" customHeight="1" thickBot="1" x14ac:dyDescent="0.35">
      <c r="B84" s="19">
        <f>B78</f>
        <v>45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70"/>
    </row>
    <row r="85" spans="2:13" ht="90" customHeight="1" thickTop="1" x14ac:dyDescent="0.3">
      <c r="B85" s="3">
        <v>46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65"/>
    </row>
    <row r="86" spans="2:13" ht="90" customHeight="1" x14ac:dyDescent="0.3">
      <c r="B86" s="14">
        <f>B85</f>
        <v>46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66"/>
    </row>
    <row r="87" spans="2:13" ht="90" customHeight="1" x14ac:dyDescent="0.3">
      <c r="B87" s="14">
        <f>B85</f>
        <v>46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67"/>
    </row>
    <row r="88" spans="2:13" ht="90" customHeight="1" x14ac:dyDescent="0.3">
      <c r="B88" s="14">
        <f>B85</f>
        <v>46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66"/>
    </row>
    <row r="89" spans="2:13" ht="90" customHeight="1" x14ac:dyDescent="0.3">
      <c r="B89" s="14">
        <f>B85</f>
        <v>46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67"/>
    </row>
    <row r="90" spans="2:13" ht="90" customHeight="1" x14ac:dyDescent="0.3">
      <c r="B90" s="14">
        <f>B85</f>
        <v>46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66"/>
    </row>
    <row r="91" spans="2:13" ht="90" customHeight="1" thickBot="1" x14ac:dyDescent="0.35">
      <c r="B91" s="14">
        <f>B85</f>
        <v>46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68"/>
    </row>
    <row r="92" spans="2:13" ht="90" customHeight="1" thickTop="1" x14ac:dyDescent="0.3">
      <c r="B92" s="4">
        <v>47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69"/>
    </row>
    <row r="93" spans="2:13" ht="90" customHeight="1" x14ac:dyDescent="0.3">
      <c r="B93" s="19">
        <f>B92</f>
        <v>47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67"/>
    </row>
    <row r="94" spans="2:13" ht="90" customHeight="1" x14ac:dyDescent="0.3">
      <c r="B94" s="19">
        <f>B92</f>
        <v>47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66"/>
    </row>
    <row r="95" spans="2:13" ht="90" customHeight="1" x14ac:dyDescent="0.3">
      <c r="B95" s="19">
        <f>B92</f>
        <v>47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67"/>
    </row>
    <row r="96" spans="2:13" ht="90" customHeight="1" x14ac:dyDescent="0.3">
      <c r="B96" s="19">
        <f>B92</f>
        <v>47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66"/>
    </row>
    <row r="97" spans="2:13" ht="90" customHeight="1" x14ac:dyDescent="0.3">
      <c r="B97" s="19">
        <f>B92</f>
        <v>47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67"/>
    </row>
    <row r="98" spans="2:13" ht="90" customHeight="1" thickBot="1" x14ac:dyDescent="0.35">
      <c r="B98" s="19">
        <f>B92</f>
        <v>47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70"/>
    </row>
    <row r="99" spans="2:13" ht="90" customHeight="1" thickTop="1" x14ac:dyDescent="0.3">
      <c r="B99" s="3">
        <v>48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65"/>
    </row>
    <row r="100" spans="2:13" ht="90" customHeight="1" x14ac:dyDescent="0.3">
      <c r="B100" s="14">
        <f>B99</f>
        <v>48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66"/>
    </row>
    <row r="101" spans="2:13" ht="90" customHeight="1" x14ac:dyDescent="0.3">
      <c r="B101" s="14">
        <f>B99</f>
        <v>48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67"/>
    </row>
    <row r="102" spans="2:13" ht="90" customHeight="1" x14ac:dyDescent="0.3">
      <c r="B102" s="14">
        <f>B99</f>
        <v>48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66"/>
    </row>
    <row r="103" spans="2:13" ht="90" customHeight="1" x14ac:dyDescent="0.3">
      <c r="B103" s="14">
        <f>B99</f>
        <v>48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67"/>
    </row>
    <row r="104" spans="2:13" ht="90" customHeight="1" x14ac:dyDescent="0.3">
      <c r="B104" s="14">
        <f>B99</f>
        <v>48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66"/>
    </row>
    <row r="105" spans="2:13" ht="90" customHeight="1" thickBot="1" x14ac:dyDescent="0.35">
      <c r="B105" s="22">
        <f>B99</f>
        <v>48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72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E4:F4"/>
    <mergeCell ref="C6:D6"/>
    <mergeCell ref="E2:G2"/>
    <mergeCell ref="B12:G12"/>
    <mergeCell ref="B10:D10"/>
    <mergeCell ref="C8:D8"/>
    <mergeCell ref="B2:B6"/>
    <mergeCell ref="C2:D2"/>
    <mergeCell ref="C4:D4"/>
  </mergeCells>
  <phoneticPr fontId="9" type="noConversion"/>
  <conditionalFormatting sqref="C15:M105">
    <cfRule type="expression" dxfId="15" priority="1">
      <formula>AND(ROW()&gt;=15,MOD(ROW()-15,2)=1)</formula>
    </cfRule>
    <cfRule type="expression" dxfId="14" priority="2">
      <formula>AND(ROW()&gt;=15,MOD(ROW()-15,2)=0)</formula>
    </cfRule>
  </conditionalFormatting>
  <dataValidations count="9">
    <dataValidation type="list" allowBlank="1" showInputMessage="1" showErrorMessage="1" sqref="H8" xr:uid="{B0CDF451-0EC6-4A86-A54E-AD943721AE2D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35CA2BA0-EBFA-449D-B74D-25CA27873EAB}">
      <formula1>"Leerjaar 1,Leerjaar 2,Leerjaar 3,Leerjaar 4"</formula1>
    </dataValidation>
    <dataValidation type="list" allowBlank="1" showInputMessage="1" showErrorMessage="1" sqref="L8" xr:uid="{D3ECBC30-7AB7-4834-A770-1CC4DBF38D2B}">
      <formula1>"BOL,BBL"</formula1>
    </dataValidation>
    <dataValidation type="list" allowBlank="1" showInputMessage="1" showErrorMessage="1" sqref="E8" xr:uid="{A451A0A0-8348-462E-BAD8-5D706C049DC2}">
      <formula1>"Selecteer,1280 uur,960 uur"</formula1>
    </dataValidation>
    <dataValidation type="list" allowBlank="1" showInputMessage="1" showErrorMessage="1" sqref="I2" xr:uid="{DF3E5B52-FCE9-4FD8-83C7-A1F99DCDA037}">
      <formula1>"Selecteer,Jaar 1,Jaar 2,Jaar 3,Jaar 4"</formula1>
    </dataValidation>
    <dataValidation type="list" allowBlank="1" showInputMessage="1" showErrorMessage="1" sqref="H7 G6" xr:uid="{4A9A587B-8FF6-499C-AD73-C26356A7F8DD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8CA7F973-2FF2-4490-881A-A565C215F727}">
      <formula1>"Selecteer,Leerjaar 1,Leerjaar 2,Leerjaar 3,Leerjaar 4"</formula1>
    </dataValidation>
    <dataValidation type="list" allowBlank="1" showInputMessage="1" showErrorMessage="1" sqref="L7 K6" xr:uid="{42643633-5836-4DFE-83AD-F26F3038DCB7}">
      <formula1>"Selecteer,BOL,BBL"</formula1>
    </dataValidation>
    <dataValidation type="list" allowBlank="1" showInputMessage="1" showErrorMessage="1" sqref="G8" xr:uid="{FC5AB0FA-15F3-454E-8412-CAF22C2F6153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C436-75E5-4453-A76B-BB9EC04835A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65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36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37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38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39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40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41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42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43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44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45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46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47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48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13" priority="1">
      <formula>AND(ROW()&gt;=15,MOD(ROW()-15,2)=1)</formula>
    </cfRule>
    <cfRule type="expression" dxfId="12" priority="2">
      <formula>AND(ROW()&gt;=15,MOD(ROW()-15,2)=0)</formula>
    </cfRule>
  </conditionalFormatting>
  <dataValidations count="9">
    <dataValidation type="list" allowBlank="1" showInputMessage="1" showErrorMessage="1" sqref="G8" xr:uid="{C01D1E42-3AD6-417B-9391-BC9356FD67B8}">
      <formula1>"Selecteer,2025/2026,2026/2027,2027/2028,2028/2029,2029/2030,2030/2031,2031/2032,2032/2033,2033/2034,2034/2035"</formula1>
    </dataValidation>
    <dataValidation type="list" allowBlank="1" showInputMessage="1" showErrorMessage="1" sqref="L7 K6" xr:uid="{97DA91EF-C228-4711-B141-29A99A734EF2}">
      <formula1>"Selecteer,BOL,BBL"</formula1>
    </dataValidation>
    <dataValidation type="list" allowBlank="1" showInputMessage="1" showErrorMessage="1" sqref="J7 I6" xr:uid="{85D8D3DC-9115-49FF-8C16-0C6F4C7DDAE1}">
      <formula1>"Selecteer,Leerjaar 1,Leerjaar 2,Leerjaar 3,Leerjaar 4"</formula1>
    </dataValidation>
    <dataValidation type="list" allowBlank="1" showInputMessage="1" showErrorMessage="1" sqref="H7 G6" xr:uid="{C7A41725-B4E7-4BED-8DAB-F4ED3ED8DC74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F2A80827-8809-40CE-A952-71D2F081F8D5}">
      <formula1>"Selecteer,Jaar 1,Jaar 2,Jaar 3,Jaar 4"</formula1>
    </dataValidation>
    <dataValidation type="list" allowBlank="1" showInputMessage="1" showErrorMessage="1" sqref="E8" xr:uid="{4CA929EB-BDE8-4781-AEE5-231989565B10}">
      <formula1>"Selecteer,1280 uur,960 uur"</formula1>
    </dataValidation>
    <dataValidation type="list" allowBlank="1" showInputMessage="1" showErrorMessage="1" sqref="L8" xr:uid="{6E39383F-A753-4853-8779-305D294EFF7E}">
      <formula1>"BOL,BBL"</formula1>
    </dataValidation>
    <dataValidation type="list" allowBlank="1" showInputMessage="1" showErrorMessage="1" sqref="J8" xr:uid="{6ADE12E9-AC7B-49A9-8646-7E5E9847CA75}">
      <formula1>"Leerjaar 1,Leerjaar 2,Leerjaar 3,Leerjaar 4"</formula1>
    </dataValidation>
    <dataValidation type="list" allowBlank="1" showInputMessage="1" showErrorMessage="1" sqref="H8" xr:uid="{5CB7DAD4-030B-4838-A49B-651C996D619E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E0ED-CA32-4C30-9AD6-3E32BA5CEEE9}">
  <sheetPr>
    <pageSetUpPr fitToPage="1"/>
  </sheetPr>
  <dimension ref="B1:M10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tr">
        <f>'OPL.PLAN JAAR 4 @ PERIODE 1'!E2</f>
        <v xml:space="preserve">[NAAM LEERBEDRIJF] 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91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49</v>
      </c>
      <c r="C15" s="13" t="s">
        <v>78</v>
      </c>
      <c r="D15" s="50"/>
      <c r="E15" s="53"/>
      <c r="F15" s="53"/>
      <c r="G15" s="53"/>
      <c r="H15" s="53"/>
      <c r="I15" s="53"/>
      <c r="J15" s="53"/>
      <c r="K15" s="39"/>
      <c r="L15" s="39"/>
      <c r="M15" s="53"/>
    </row>
    <row r="16" spans="2:13" ht="90" customHeight="1" x14ac:dyDescent="0.3">
      <c r="B16" s="14">
        <f>B15</f>
        <v>49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46"/>
    </row>
    <row r="17" spans="2:13" ht="90" customHeight="1" x14ac:dyDescent="0.3">
      <c r="B17" s="14">
        <f>B15</f>
        <v>49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47"/>
    </row>
    <row r="18" spans="2:13" ht="90" customHeight="1" x14ac:dyDescent="0.3">
      <c r="B18" s="14">
        <f>B15</f>
        <v>49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46"/>
    </row>
    <row r="19" spans="2:13" ht="90" customHeight="1" x14ac:dyDescent="0.3">
      <c r="B19" s="14">
        <f>B15</f>
        <v>49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47"/>
    </row>
    <row r="20" spans="2:13" ht="90" customHeight="1" x14ac:dyDescent="0.3">
      <c r="B20" s="14">
        <f>B15</f>
        <v>49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46"/>
    </row>
    <row r="21" spans="2:13" ht="90" customHeight="1" thickBot="1" x14ac:dyDescent="0.35">
      <c r="B21" s="14">
        <f>B15</f>
        <v>49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48"/>
    </row>
    <row r="22" spans="2:13" ht="90" customHeight="1" thickTop="1" x14ac:dyDescent="0.3">
      <c r="B22" s="4">
        <v>50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57"/>
    </row>
    <row r="23" spans="2:13" ht="90" customHeight="1" x14ac:dyDescent="0.3">
      <c r="B23" s="19">
        <f>B22</f>
        <v>50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47"/>
    </row>
    <row r="24" spans="2:13" ht="90" customHeight="1" x14ac:dyDescent="0.3">
      <c r="B24" s="19">
        <f>B22</f>
        <v>50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46"/>
    </row>
    <row r="25" spans="2:13" ht="90" customHeight="1" x14ac:dyDescent="0.3">
      <c r="B25" s="19">
        <f>B22</f>
        <v>50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47"/>
    </row>
    <row r="26" spans="2:13" ht="90" customHeight="1" x14ac:dyDescent="0.3">
      <c r="B26" s="19">
        <f>B22</f>
        <v>50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46"/>
    </row>
    <row r="27" spans="2:13" ht="90" customHeight="1" x14ac:dyDescent="0.3">
      <c r="B27" s="19">
        <f>B22</f>
        <v>50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47"/>
    </row>
    <row r="28" spans="2:13" ht="90" customHeight="1" thickBot="1" x14ac:dyDescent="0.35">
      <c r="B28" s="19">
        <f>B22</f>
        <v>50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49"/>
    </row>
    <row r="29" spans="2:13" ht="90" customHeight="1" thickTop="1" x14ac:dyDescent="0.3">
      <c r="B29" s="3">
        <v>51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56"/>
    </row>
    <row r="30" spans="2:13" ht="90" customHeight="1" x14ac:dyDescent="0.3">
      <c r="B30" s="14">
        <f>B29</f>
        <v>51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46"/>
    </row>
    <row r="31" spans="2:13" ht="90" customHeight="1" x14ac:dyDescent="0.3">
      <c r="B31" s="14">
        <f>B29</f>
        <v>51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47"/>
    </row>
    <row r="32" spans="2:13" ht="90" customHeight="1" x14ac:dyDescent="0.3">
      <c r="B32" s="14">
        <f>B29</f>
        <v>51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46"/>
    </row>
    <row r="33" spans="2:13" ht="90" customHeight="1" x14ac:dyDescent="0.3">
      <c r="B33" s="14">
        <f>B29</f>
        <v>51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47"/>
    </row>
    <row r="34" spans="2:13" ht="90" customHeight="1" x14ac:dyDescent="0.3">
      <c r="B34" s="14">
        <f>B29</f>
        <v>51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46"/>
    </row>
    <row r="35" spans="2:13" ht="90" customHeight="1" thickBot="1" x14ac:dyDescent="0.35">
      <c r="B35" s="14">
        <f>B29</f>
        <v>51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48"/>
    </row>
    <row r="36" spans="2:13" ht="90" customHeight="1" thickTop="1" x14ac:dyDescent="0.3">
      <c r="B36" s="4">
        <v>52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57"/>
    </row>
    <row r="37" spans="2:13" ht="90" customHeight="1" x14ac:dyDescent="0.3">
      <c r="B37" s="19">
        <f>B36</f>
        <v>52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47"/>
    </row>
    <row r="38" spans="2:13" ht="90" customHeight="1" x14ac:dyDescent="0.3">
      <c r="B38" s="19">
        <f>B36</f>
        <v>52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46"/>
    </row>
    <row r="39" spans="2:13" ht="90" customHeight="1" x14ac:dyDescent="0.3">
      <c r="B39" s="19">
        <f>B36</f>
        <v>52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47"/>
    </row>
    <row r="40" spans="2:13" ht="90" customHeight="1" x14ac:dyDescent="0.3">
      <c r="B40" s="19">
        <f>B36</f>
        <v>52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46"/>
    </row>
    <row r="41" spans="2:13" ht="90" customHeight="1" x14ac:dyDescent="0.3">
      <c r="B41" s="19">
        <f>B36</f>
        <v>52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47"/>
    </row>
    <row r="42" spans="2:13" ht="90" customHeight="1" thickBot="1" x14ac:dyDescent="0.35">
      <c r="B42" s="19">
        <f>B36</f>
        <v>52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49"/>
    </row>
    <row r="43" spans="2:13" ht="90" customHeight="1" thickTop="1" x14ac:dyDescent="0.3">
      <c r="B43" s="3">
        <v>1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56"/>
    </row>
    <row r="44" spans="2:13" ht="90" customHeight="1" x14ac:dyDescent="0.3">
      <c r="B44" s="14">
        <f>B43</f>
        <v>1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46"/>
    </row>
    <row r="45" spans="2:13" ht="90" customHeight="1" x14ac:dyDescent="0.3">
      <c r="B45" s="14">
        <f>B43</f>
        <v>1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47"/>
    </row>
    <row r="46" spans="2:13" ht="90" customHeight="1" x14ac:dyDescent="0.3">
      <c r="B46" s="14">
        <f>B43</f>
        <v>1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46"/>
    </row>
    <row r="47" spans="2:13" ht="90" customHeight="1" x14ac:dyDescent="0.3">
      <c r="B47" s="14">
        <f>B43</f>
        <v>1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47"/>
    </row>
    <row r="48" spans="2:13" ht="90" customHeight="1" x14ac:dyDescent="0.3">
      <c r="B48" s="14">
        <f>B43</f>
        <v>1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46"/>
    </row>
    <row r="49" spans="2:13" ht="90" customHeight="1" thickBot="1" x14ac:dyDescent="0.35">
      <c r="B49" s="14">
        <f>B43</f>
        <v>1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48"/>
    </row>
    <row r="50" spans="2:13" ht="90" customHeight="1" thickTop="1" x14ac:dyDescent="0.3">
      <c r="B50" s="4">
        <v>2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57"/>
    </row>
    <row r="51" spans="2:13" ht="90" customHeight="1" x14ac:dyDescent="0.3">
      <c r="B51" s="19">
        <f>B50</f>
        <v>2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47"/>
    </row>
    <row r="52" spans="2:13" ht="90" customHeight="1" x14ac:dyDescent="0.3">
      <c r="B52" s="19">
        <f>B50</f>
        <v>2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46"/>
    </row>
    <row r="53" spans="2:13" ht="90" customHeight="1" x14ac:dyDescent="0.3">
      <c r="B53" s="19">
        <f>B50</f>
        <v>2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47"/>
    </row>
    <row r="54" spans="2:13" ht="90" customHeight="1" x14ac:dyDescent="0.3">
      <c r="B54" s="19">
        <f>B50</f>
        <v>2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46"/>
    </row>
    <row r="55" spans="2:13" ht="90" customHeight="1" x14ac:dyDescent="0.3">
      <c r="B55" s="19">
        <f>B50</f>
        <v>2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47"/>
    </row>
    <row r="56" spans="2:13" ht="90" customHeight="1" thickBot="1" x14ac:dyDescent="0.35">
      <c r="B56" s="19">
        <f>B50</f>
        <v>2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49"/>
    </row>
    <row r="57" spans="2:13" ht="90" customHeight="1" thickTop="1" x14ac:dyDescent="0.3">
      <c r="B57" s="3">
        <v>3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56"/>
    </row>
    <row r="58" spans="2:13" ht="90" customHeight="1" x14ac:dyDescent="0.3">
      <c r="B58" s="14">
        <f>B57</f>
        <v>3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46"/>
    </row>
    <row r="59" spans="2:13" ht="90" customHeight="1" x14ac:dyDescent="0.3">
      <c r="B59" s="14">
        <f>B57</f>
        <v>3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47"/>
    </row>
    <row r="60" spans="2:13" ht="90" customHeight="1" x14ac:dyDescent="0.3">
      <c r="B60" s="14">
        <f>B57</f>
        <v>3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46"/>
    </row>
    <row r="61" spans="2:13" ht="90" customHeight="1" x14ac:dyDescent="0.3">
      <c r="B61" s="14">
        <f>B57</f>
        <v>3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47"/>
    </row>
    <row r="62" spans="2:13" ht="90" customHeight="1" x14ac:dyDescent="0.3">
      <c r="B62" s="14">
        <f>B57</f>
        <v>3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46"/>
    </row>
    <row r="63" spans="2:13" ht="90" customHeight="1" thickBot="1" x14ac:dyDescent="0.35">
      <c r="B63" s="14">
        <f>B57</f>
        <v>3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48"/>
    </row>
    <row r="64" spans="2:13" ht="90" customHeight="1" thickTop="1" x14ac:dyDescent="0.3">
      <c r="B64" s="4">
        <v>4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57"/>
    </row>
    <row r="65" spans="2:13" ht="90" customHeight="1" x14ac:dyDescent="0.3">
      <c r="B65" s="19">
        <f>B64</f>
        <v>4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47"/>
    </row>
    <row r="66" spans="2:13" ht="90" customHeight="1" x14ac:dyDescent="0.3">
      <c r="B66" s="19">
        <f>B64</f>
        <v>4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46"/>
    </row>
    <row r="67" spans="2:13" ht="90" customHeight="1" x14ac:dyDescent="0.3">
      <c r="B67" s="19">
        <f>B64</f>
        <v>4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47"/>
    </row>
    <row r="68" spans="2:13" ht="90" customHeight="1" x14ac:dyDescent="0.3">
      <c r="B68" s="19">
        <f>B64</f>
        <v>4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46"/>
    </row>
    <row r="69" spans="2:13" ht="90" customHeight="1" x14ac:dyDescent="0.3">
      <c r="B69" s="19">
        <f>B64</f>
        <v>4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47"/>
    </row>
    <row r="70" spans="2:13" ht="90" customHeight="1" thickBot="1" x14ac:dyDescent="0.35">
      <c r="B70" s="19">
        <f>B64</f>
        <v>4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49"/>
    </row>
    <row r="71" spans="2:13" ht="90" customHeight="1" thickTop="1" x14ac:dyDescent="0.3">
      <c r="B71" s="3">
        <v>5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56"/>
    </row>
    <row r="72" spans="2:13" ht="90" customHeight="1" x14ac:dyDescent="0.3">
      <c r="B72" s="14">
        <f>B71</f>
        <v>5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46"/>
    </row>
    <row r="73" spans="2:13" ht="90" customHeight="1" x14ac:dyDescent="0.3">
      <c r="B73" s="14">
        <f>B71</f>
        <v>5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47"/>
    </row>
    <row r="74" spans="2:13" ht="90" customHeight="1" x14ac:dyDescent="0.3">
      <c r="B74" s="14">
        <f>B71</f>
        <v>5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46"/>
    </row>
    <row r="75" spans="2:13" ht="90" customHeight="1" x14ac:dyDescent="0.3">
      <c r="B75" s="14">
        <f>B71</f>
        <v>5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47"/>
    </row>
    <row r="76" spans="2:13" ht="90" customHeight="1" x14ac:dyDescent="0.3">
      <c r="B76" s="14">
        <f>B71</f>
        <v>5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46"/>
    </row>
    <row r="77" spans="2:13" ht="90" customHeight="1" thickBot="1" x14ac:dyDescent="0.35">
      <c r="B77" s="14">
        <f>B71</f>
        <v>5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48"/>
    </row>
    <row r="78" spans="2:13" ht="90" customHeight="1" thickTop="1" x14ac:dyDescent="0.3">
      <c r="B78" s="4">
        <v>6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57"/>
    </row>
    <row r="79" spans="2:13" ht="90" customHeight="1" x14ac:dyDescent="0.3">
      <c r="B79" s="19">
        <f>B78</f>
        <v>6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47"/>
    </row>
    <row r="80" spans="2:13" ht="90" customHeight="1" x14ac:dyDescent="0.3">
      <c r="B80" s="19">
        <f>B78</f>
        <v>6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46"/>
    </row>
    <row r="81" spans="2:13" ht="90" customHeight="1" x14ac:dyDescent="0.3">
      <c r="B81" s="19">
        <f>B78</f>
        <v>6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47"/>
    </row>
    <row r="82" spans="2:13" ht="90" customHeight="1" x14ac:dyDescent="0.3">
      <c r="B82" s="19">
        <f>B78</f>
        <v>6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46"/>
    </row>
    <row r="83" spans="2:13" ht="90" customHeight="1" x14ac:dyDescent="0.3">
      <c r="B83" s="19">
        <f>B78</f>
        <v>6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47"/>
    </row>
    <row r="84" spans="2:13" ht="90" customHeight="1" thickBot="1" x14ac:dyDescent="0.35">
      <c r="B84" s="19">
        <f>B78</f>
        <v>6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49"/>
    </row>
    <row r="85" spans="2:13" ht="90" customHeight="1" thickTop="1" x14ac:dyDescent="0.3">
      <c r="B85" s="3">
        <v>7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56"/>
    </row>
    <row r="86" spans="2:13" ht="90" customHeight="1" x14ac:dyDescent="0.3">
      <c r="B86" s="14">
        <f>B85</f>
        <v>7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46"/>
    </row>
    <row r="87" spans="2:13" ht="90" customHeight="1" x14ac:dyDescent="0.3">
      <c r="B87" s="14">
        <f>B85</f>
        <v>7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47"/>
    </row>
    <row r="88" spans="2:13" ht="90" customHeight="1" x14ac:dyDescent="0.3">
      <c r="B88" s="14">
        <f>B85</f>
        <v>7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46"/>
    </row>
    <row r="89" spans="2:13" ht="90" customHeight="1" x14ac:dyDescent="0.3">
      <c r="B89" s="14">
        <f>B85</f>
        <v>7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47"/>
    </row>
    <row r="90" spans="2:13" ht="90" customHeight="1" x14ac:dyDescent="0.3">
      <c r="B90" s="14">
        <f>B85</f>
        <v>7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46"/>
    </row>
    <row r="91" spans="2:13" ht="90" customHeight="1" thickBot="1" x14ac:dyDescent="0.35">
      <c r="B91" s="14">
        <f>B85</f>
        <v>7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48"/>
    </row>
    <row r="92" spans="2:13" ht="90" customHeight="1" thickTop="1" x14ac:dyDescent="0.3">
      <c r="B92" s="4">
        <v>8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57"/>
    </row>
    <row r="93" spans="2:13" ht="90" customHeight="1" x14ac:dyDescent="0.3">
      <c r="B93" s="19">
        <f>B92</f>
        <v>8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47"/>
    </row>
    <row r="94" spans="2:13" ht="90" customHeight="1" x14ac:dyDescent="0.3">
      <c r="B94" s="19">
        <f>B92</f>
        <v>8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46"/>
    </row>
    <row r="95" spans="2:13" ht="90" customHeight="1" x14ac:dyDescent="0.3">
      <c r="B95" s="19">
        <f>B92</f>
        <v>8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47"/>
    </row>
    <row r="96" spans="2:13" ht="90" customHeight="1" x14ac:dyDescent="0.3">
      <c r="B96" s="19">
        <f>B92</f>
        <v>8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46"/>
    </row>
    <row r="97" spans="2:13" ht="90" customHeight="1" x14ac:dyDescent="0.3">
      <c r="B97" s="19">
        <f>B92</f>
        <v>8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47"/>
    </row>
    <row r="98" spans="2:13" ht="90" customHeight="1" thickBot="1" x14ac:dyDescent="0.35">
      <c r="B98" s="19">
        <f>B92</f>
        <v>8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49"/>
    </row>
    <row r="99" spans="2:13" ht="90" customHeight="1" thickTop="1" x14ac:dyDescent="0.3">
      <c r="B99" s="3">
        <v>9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56"/>
    </row>
    <row r="100" spans="2:13" ht="90" customHeight="1" x14ac:dyDescent="0.3">
      <c r="B100" s="14">
        <f>B99</f>
        <v>9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46"/>
    </row>
    <row r="101" spans="2:13" ht="90" customHeight="1" x14ac:dyDescent="0.3">
      <c r="B101" s="14">
        <f>B99</f>
        <v>9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47"/>
    </row>
    <row r="102" spans="2:13" ht="90" customHeight="1" x14ac:dyDescent="0.3">
      <c r="B102" s="14">
        <f>B99</f>
        <v>9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46"/>
    </row>
    <row r="103" spans="2:13" ht="90" customHeight="1" x14ac:dyDescent="0.3">
      <c r="B103" s="14">
        <f>B99</f>
        <v>9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47"/>
    </row>
    <row r="104" spans="2:13" ht="90" customHeight="1" x14ac:dyDescent="0.3">
      <c r="B104" s="14">
        <f>B99</f>
        <v>9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46"/>
    </row>
    <row r="105" spans="2:13" ht="90" customHeight="1" thickBot="1" x14ac:dyDescent="0.35">
      <c r="B105" s="22">
        <f>B99</f>
        <v>9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48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105">
    <cfRule type="expression" dxfId="11" priority="1">
      <formula>AND(ROW()&gt;=15,MOD(ROW()-15,2)=1)</formula>
    </cfRule>
    <cfRule type="expression" dxfId="10" priority="2">
      <formula>AND(ROW()&gt;=15,MOD(ROW()-15,2)=0)</formula>
    </cfRule>
  </conditionalFormatting>
  <dataValidations count="9">
    <dataValidation type="list" allowBlank="1" showInputMessage="1" showErrorMessage="1" sqref="G8" xr:uid="{57938867-7411-4141-8662-DC636BEF5078}">
      <formula1>"Selecteer,2025/2026,2026/2027,2027/2028,2028/2029,2029/2030,2030/2031,2031/2032,2032/2033,2033/2034,2034/2035"</formula1>
    </dataValidation>
    <dataValidation type="list" allowBlank="1" showInputMessage="1" showErrorMessage="1" sqref="L7 K6" xr:uid="{594E11A6-74FC-4B5F-8535-FDC2B6497928}">
      <formula1>"Selecteer,BOL,BBL"</formula1>
    </dataValidation>
    <dataValidation type="list" allowBlank="1" showInputMessage="1" showErrorMessage="1" sqref="J7 I6" xr:uid="{8B2859D7-69D5-4470-AFEB-367EA35EBA14}">
      <formula1>"Selecteer,Leerjaar 1,Leerjaar 2,Leerjaar 3,Leerjaar 4"</formula1>
    </dataValidation>
    <dataValidation type="list" allowBlank="1" showInputMessage="1" showErrorMessage="1" sqref="H7 G6" xr:uid="{16C1C171-C3B3-4C53-9506-8FEB34901683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779CF38E-475B-43F4-A347-C9050137E780}">
      <formula1>"Selecteer,Jaar 1,Jaar 2,Jaar 3,Jaar 4"</formula1>
    </dataValidation>
    <dataValidation type="list" allowBlank="1" showInputMessage="1" showErrorMessage="1" sqref="E8" xr:uid="{D12A9F06-077D-40D7-9F05-19DDA3739AE6}">
      <formula1>"Selecteer,1280 uur,960 uur"</formula1>
    </dataValidation>
    <dataValidation type="list" allowBlank="1" showInputMessage="1" showErrorMessage="1" sqref="L8" xr:uid="{4009D70F-5EE5-4569-80C8-26ED72D1CACA}">
      <formula1>"BOL,BBL"</formula1>
    </dataValidation>
    <dataValidation type="list" allowBlank="1" showInputMessage="1" showErrorMessage="1" sqref="J8" xr:uid="{18D638CF-67BB-4775-A6DA-6D2657D7B5CF}">
      <formula1>"Leerjaar 1,Leerjaar 2,Leerjaar 3,Leerjaar 4"</formula1>
    </dataValidation>
    <dataValidation type="list" allowBlank="1" showInputMessage="1" showErrorMessage="1" sqref="H8" xr:uid="{826AA202-2B5B-4948-8213-D3D891216A9A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  <ignoredErrors>
    <ignoredError sqref="E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76D9-29C0-4898-8612-C2D42DF1F9CD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91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49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50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51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52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1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2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3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4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5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6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7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8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9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9" priority="1">
      <formula>AND(ROW()&gt;=15,MOD(ROW()-15,2)=1)</formula>
    </cfRule>
    <cfRule type="expression" dxfId="8" priority="2">
      <formula>AND(ROW()&gt;=15,MOD(ROW()-15,2)=0)</formula>
    </cfRule>
  </conditionalFormatting>
  <dataValidations count="9">
    <dataValidation type="list" allowBlank="1" showInputMessage="1" showErrorMessage="1" sqref="H8" xr:uid="{176056BD-1D78-4CE3-819E-87BCE2E4DB1F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12E9730A-775B-41C6-A9CD-FE8A9044F6FC}">
      <formula1>"Leerjaar 1,Leerjaar 2,Leerjaar 3,Leerjaar 4"</formula1>
    </dataValidation>
    <dataValidation type="list" allowBlank="1" showInputMessage="1" showErrorMessage="1" sqref="L8" xr:uid="{BF130794-AC3F-4177-9DD5-675F60EAB3B8}">
      <formula1>"BOL,BBL"</formula1>
    </dataValidation>
    <dataValidation type="list" allowBlank="1" showInputMessage="1" showErrorMessage="1" sqref="E8" xr:uid="{887B309E-37BC-40C2-880D-CDA7A74BFE94}">
      <formula1>"Selecteer,1280 uur,960 uur"</formula1>
    </dataValidation>
    <dataValidation type="list" allowBlank="1" showInputMessage="1" showErrorMessage="1" sqref="I2" xr:uid="{F95B407C-FA7F-4BC3-B4FC-63FA8A1C886A}">
      <formula1>"Selecteer,Jaar 1,Jaar 2,Jaar 3,Jaar 4"</formula1>
    </dataValidation>
    <dataValidation type="list" allowBlank="1" showInputMessage="1" showErrorMessage="1" sqref="H7 G6" xr:uid="{7748BB77-E4CF-4C57-B0DF-3D3D984666D7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1F07AE73-CCBE-4476-ACEA-66840B863886}">
      <formula1>"Selecteer,Leerjaar 1,Leerjaar 2,Leerjaar 3,Leerjaar 4"</formula1>
    </dataValidation>
    <dataValidation type="list" allowBlank="1" showInputMessage="1" showErrorMessage="1" sqref="L7 K6" xr:uid="{CC2C4DC6-5240-43C5-9F7D-DE31912B1A25}">
      <formula1>"Selecteer,BOL,BBL"</formula1>
    </dataValidation>
    <dataValidation type="list" allowBlank="1" showInputMessage="1" showErrorMessage="1" sqref="G8" xr:uid="{7B6E9AAB-B168-4FB4-9FAB-D65CB91703B9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66FE-2569-49CD-AF99-D6862B53C9E5}">
  <sheetPr>
    <pageSetUpPr fitToPage="1"/>
  </sheetPr>
  <dimension ref="B1:M10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tr">
        <f>'OPL.PLAN JAAR 4 @ PERIODE 1'!E2</f>
        <v xml:space="preserve">[NAAM LEERBEDRIJF] 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92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10</v>
      </c>
      <c r="C15" s="13" t="s">
        <v>78</v>
      </c>
      <c r="D15" s="50"/>
      <c r="E15" s="53"/>
      <c r="F15" s="53"/>
      <c r="G15" s="53"/>
      <c r="H15" s="53"/>
      <c r="I15" s="53"/>
      <c r="J15" s="53"/>
      <c r="K15" s="39"/>
      <c r="L15" s="39"/>
      <c r="M15" s="53"/>
    </row>
    <row r="16" spans="2:13" ht="90" customHeight="1" x14ac:dyDescent="0.3">
      <c r="B16" s="14">
        <f>B15</f>
        <v>10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46"/>
    </row>
    <row r="17" spans="2:13" ht="90" customHeight="1" x14ac:dyDescent="0.3">
      <c r="B17" s="14">
        <f>B15</f>
        <v>10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47"/>
    </row>
    <row r="18" spans="2:13" ht="90" customHeight="1" x14ac:dyDescent="0.3">
      <c r="B18" s="14">
        <f>B15</f>
        <v>10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46"/>
    </row>
    <row r="19" spans="2:13" ht="90" customHeight="1" x14ac:dyDescent="0.3">
      <c r="B19" s="14">
        <f>B15</f>
        <v>10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47"/>
    </row>
    <row r="20" spans="2:13" ht="90" customHeight="1" x14ac:dyDescent="0.3">
      <c r="B20" s="14">
        <f>B15</f>
        <v>10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46"/>
    </row>
    <row r="21" spans="2:13" ht="90" customHeight="1" thickBot="1" x14ac:dyDescent="0.35">
      <c r="B21" s="14">
        <f>B15</f>
        <v>10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48"/>
    </row>
    <row r="22" spans="2:13" ht="90" customHeight="1" thickTop="1" x14ac:dyDescent="0.3">
      <c r="B22" s="4">
        <v>11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57"/>
    </row>
    <row r="23" spans="2:13" ht="90" customHeight="1" x14ac:dyDescent="0.3">
      <c r="B23" s="19">
        <f>B22</f>
        <v>11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47"/>
    </row>
    <row r="24" spans="2:13" ht="90" customHeight="1" x14ac:dyDescent="0.3">
      <c r="B24" s="19">
        <f>B22</f>
        <v>11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46"/>
    </row>
    <row r="25" spans="2:13" ht="90" customHeight="1" x14ac:dyDescent="0.3">
      <c r="B25" s="19">
        <f>B22</f>
        <v>11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47"/>
    </row>
    <row r="26" spans="2:13" ht="90" customHeight="1" x14ac:dyDescent="0.3">
      <c r="B26" s="19">
        <f>B22</f>
        <v>11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46"/>
    </row>
    <row r="27" spans="2:13" ht="90" customHeight="1" x14ac:dyDescent="0.3">
      <c r="B27" s="19">
        <f>B22</f>
        <v>11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47"/>
    </row>
    <row r="28" spans="2:13" ht="90" customHeight="1" thickBot="1" x14ac:dyDescent="0.35">
      <c r="B28" s="19">
        <f>B22</f>
        <v>11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49"/>
    </row>
    <row r="29" spans="2:13" ht="90" customHeight="1" thickTop="1" x14ac:dyDescent="0.3">
      <c r="B29" s="3">
        <v>12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56"/>
    </row>
    <row r="30" spans="2:13" ht="90" customHeight="1" x14ac:dyDescent="0.3">
      <c r="B30" s="14">
        <f>B29</f>
        <v>12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46"/>
    </row>
    <row r="31" spans="2:13" ht="90" customHeight="1" x14ac:dyDescent="0.3">
      <c r="B31" s="14">
        <f>B29</f>
        <v>12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47"/>
    </row>
    <row r="32" spans="2:13" ht="90" customHeight="1" x14ac:dyDescent="0.3">
      <c r="B32" s="14">
        <f>B29</f>
        <v>12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46"/>
    </row>
    <row r="33" spans="2:13" ht="90" customHeight="1" x14ac:dyDescent="0.3">
      <c r="B33" s="14">
        <f>B29</f>
        <v>12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47"/>
    </row>
    <row r="34" spans="2:13" ht="90" customHeight="1" x14ac:dyDescent="0.3">
      <c r="B34" s="14">
        <f>B29</f>
        <v>12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46"/>
    </row>
    <row r="35" spans="2:13" ht="90" customHeight="1" thickBot="1" x14ac:dyDescent="0.35">
      <c r="B35" s="14">
        <f>B29</f>
        <v>12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48"/>
    </row>
    <row r="36" spans="2:13" ht="90" customHeight="1" thickTop="1" x14ac:dyDescent="0.3">
      <c r="B36" s="4">
        <v>13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57"/>
    </row>
    <row r="37" spans="2:13" ht="90" customHeight="1" x14ac:dyDescent="0.3">
      <c r="B37" s="19">
        <f>B36</f>
        <v>13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47"/>
    </row>
    <row r="38" spans="2:13" ht="90" customHeight="1" x14ac:dyDescent="0.3">
      <c r="B38" s="19">
        <f>B36</f>
        <v>13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46"/>
    </row>
    <row r="39" spans="2:13" ht="90" customHeight="1" x14ac:dyDescent="0.3">
      <c r="B39" s="19">
        <f>B36</f>
        <v>13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47"/>
    </row>
    <row r="40" spans="2:13" ht="90" customHeight="1" x14ac:dyDescent="0.3">
      <c r="B40" s="19">
        <f>B36</f>
        <v>13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46"/>
    </row>
    <row r="41" spans="2:13" ht="90" customHeight="1" x14ac:dyDescent="0.3">
      <c r="B41" s="19">
        <f>B36</f>
        <v>13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47"/>
    </row>
    <row r="42" spans="2:13" ht="90" customHeight="1" thickBot="1" x14ac:dyDescent="0.35">
      <c r="B42" s="19">
        <f>B36</f>
        <v>13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49"/>
    </row>
    <row r="43" spans="2:13" ht="90" customHeight="1" thickTop="1" x14ac:dyDescent="0.3">
      <c r="B43" s="3">
        <v>14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56"/>
    </row>
    <row r="44" spans="2:13" ht="90" customHeight="1" x14ac:dyDescent="0.3">
      <c r="B44" s="14">
        <f>B43</f>
        <v>14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46"/>
    </row>
    <row r="45" spans="2:13" ht="90" customHeight="1" x14ac:dyDescent="0.3">
      <c r="B45" s="14">
        <f>B43</f>
        <v>14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47"/>
    </row>
    <row r="46" spans="2:13" ht="90" customHeight="1" x14ac:dyDescent="0.3">
      <c r="B46" s="14">
        <f>B43</f>
        <v>14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46"/>
    </row>
    <row r="47" spans="2:13" ht="90" customHeight="1" x14ac:dyDescent="0.3">
      <c r="B47" s="14">
        <f>B43</f>
        <v>14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47"/>
    </row>
    <row r="48" spans="2:13" ht="90" customHeight="1" x14ac:dyDescent="0.3">
      <c r="B48" s="14">
        <f>B43</f>
        <v>14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46"/>
    </row>
    <row r="49" spans="2:13" ht="90" customHeight="1" thickBot="1" x14ac:dyDescent="0.35">
      <c r="B49" s="14">
        <f>B43</f>
        <v>14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48"/>
    </row>
    <row r="50" spans="2:13" ht="90" customHeight="1" thickTop="1" x14ac:dyDescent="0.3">
      <c r="B50" s="4">
        <v>15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57"/>
    </row>
    <row r="51" spans="2:13" ht="90" customHeight="1" x14ac:dyDescent="0.3">
      <c r="B51" s="19">
        <f>B50</f>
        <v>15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47"/>
    </row>
    <row r="52" spans="2:13" ht="90" customHeight="1" x14ac:dyDescent="0.3">
      <c r="B52" s="19">
        <f>B50</f>
        <v>15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46"/>
    </row>
    <row r="53" spans="2:13" ht="90" customHeight="1" x14ac:dyDescent="0.3">
      <c r="B53" s="19">
        <f>B50</f>
        <v>15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47"/>
    </row>
    <row r="54" spans="2:13" ht="90" customHeight="1" x14ac:dyDescent="0.3">
      <c r="B54" s="19">
        <f>B50</f>
        <v>15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46"/>
    </row>
    <row r="55" spans="2:13" ht="90" customHeight="1" x14ac:dyDescent="0.3">
      <c r="B55" s="19">
        <f>B50</f>
        <v>15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47"/>
    </row>
    <row r="56" spans="2:13" ht="90" customHeight="1" thickBot="1" x14ac:dyDescent="0.35">
      <c r="B56" s="19">
        <f>B50</f>
        <v>15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49"/>
    </row>
    <row r="57" spans="2:13" ht="90" customHeight="1" thickTop="1" x14ac:dyDescent="0.3">
      <c r="B57" s="3">
        <v>16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56"/>
    </row>
    <row r="58" spans="2:13" ht="90" customHeight="1" x14ac:dyDescent="0.3">
      <c r="B58" s="14">
        <f>B57</f>
        <v>16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46"/>
    </row>
    <row r="59" spans="2:13" ht="90" customHeight="1" x14ac:dyDescent="0.3">
      <c r="B59" s="14">
        <f>B57</f>
        <v>16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47"/>
    </row>
    <row r="60" spans="2:13" ht="90" customHeight="1" x14ac:dyDescent="0.3">
      <c r="B60" s="14">
        <f>B57</f>
        <v>16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46"/>
    </row>
    <row r="61" spans="2:13" ht="90" customHeight="1" x14ac:dyDescent="0.3">
      <c r="B61" s="14">
        <f>B57</f>
        <v>16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47"/>
    </row>
    <row r="62" spans="2:13" ht="90" customHeight="1" x14ac:dyDescent="0.3">
      <c r="B62" s="14">
        <f>B57</f>
        <v>16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46"/>
    </row>
    <row r="63" spans="2:13" ht="90" customHeight="1" thickBot="1" x14ac:dyDescent="0.35">
      <c r="B63" s="14">
        <f>B57</f>
        <v>16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48"/>
    </row>
    <row r="64" spans="2:13" ht="90" customHeight="1" thickTop="1" x14ac:dyDescent="0.3">
      <c r="B64" s="4">
        <v>17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57"/>
    </row>
    <row r="65" spans="2:13" ht="90" customHeight="1" x14ac:dyDescent="0.3">
      <c r="B65" s="19">
        <f>B64</f>
        <v>17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47"/>
    </row>
    <row r="66" spans="2:13" ht="90" customHeight="1" x14ac:dyDescent="0.3">
      <c r="B66" s="19">
        <f>B64</f>
        <v>17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46"/>
    </row>
    <row r="67" spans="2:13" ht="90" customHeight="1" x14ac:dyDescent="0.3">
      <c r="B67" s="19">
        <f>B64</f>
        <v>17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47"/>
    </row>
    <row r="68" spans="2:13" ht="90" customHeight="1" x14ac:dyDescent="0.3">
      <c r="B68" s="19">
        <f>B64</f>
        <v>17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46"/>
    </row>
    <row r="69" spans="2:13" ht="90" customHeight="1" x14ac:dyDescent="0.3">
      <c r="B69" s="19">
        <f>B64</f>
        <v>17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47"/>
    </row>
    <row r="70" spans="2:13" ht="90" customHeight="1" thickBot="1" x14ac:dyDescent="0.35">
      <c r="B70" s="19">
        <f>B64</f>
        <v>17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49"/>
    </row>
    <row r="71" spans="2:13" ht="90" customHeight="1" thickTop="1" x14ac:dyDescent="0.3">
      <c r="B71" s="3">
        <v>18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56"/>
    </row>
    <row r="72" spans="2:13" ht="90" customHeight="1" x14ac:dyDescent="0.3">
      <c r="B72" s="14">
        <f>B71</f>
        <v>18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46"/>
    </row>
    <row r="73" spans="2:13" ht="90" customHeight="1" x14ac:dyDescent="0.3">
      <c r="B73" s="14">
        <f>B71</f>
        <v>18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47"/>
    </row>
    <row r="74" spans="2:13" ht="90" customHeight="1" x14ac:dyDescent="0.3">
      <c r="B74" s="14">
        <f>B71</f>
        <v>18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46"/>
    </row>
    <row r="75" spans="2:13" ht="90" customHeight="1" x14ac:dyDescent="0.3">
      <c r="B75" s="14">
        <f>B71</f>
        <v>18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47"/>
    </row>
    <row r="76" spans="2:13" ht="90" customHeight="1" x14ac:dyDescent="0.3">
      <c r="B76" s="14">
        <f>B71</f>
        <v>18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46"/>
    </row>
    <row r="77" spans="2:13" ht="90" customHeight="1" thickBot="1" x14ac:dyDescent="0.35">
      <c r="B77" s="14">
        <f>B71</f>
        <v>18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48"/>
    </row>
    <row r="78" spans="2:13" ht="90" customHeight="1" thickTop="1" x14ac:dyDescent="0.3">
      <c r="B78" s="4">
        <v>19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57"/>
    </row>
    <row r="79" spans="2:13" ht="90" customHeight="1" x14ac:dyDescent="0.3">
      <c r="B79" s="19">
        <f>B78</f>
        <v>19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47"/>
    </row>
    <row r="80" spans="2:13" ht="90" customHeight="1" x14ac:dyDescent="0.3">
      <c r="B80" s="19">
        <f>B78</f>
        <v>19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46"/>
    </row>
    <row r="81" spans="2:13" ht="90" customHeight="1" x14ac:dyDescent="0.3">
      <c r="B81" s="19">
        <f>B78</f>
        <v>19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47"/>
    </row>
    <row r="82" spans="2:13" ht="90" customHeight="1" x14ac:dyDescent="0.3">
      <c r="B82" s="19">
        <f>B78</f>
        <v>19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46"/>
    </row>
    <row r="83" spans="2:13" ht="90" customHeight="1" x14ac:dyDescent="0.3">
      <c r="B83" s="19">
        <f>B78</f>
        <v>19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47"/>
    </row>
    <row r="84" spans="2:13" ht="90" customHeight="1" thickBot="1" x14ac:dyDescent="0.35">
      <c r="B84" s="19">
        <f>B78</f>
        <v>19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49"/>
    </row>
    <row r="85" spans="2:13" ht="90" customHeight="1" thickTop="1" x14ac:dyDescent="0.3">
      <c r="B85" s="3">
        <v>20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56"/>
    </row>
    <row r="86" spans="2:13" ht="90" customHeight="1" x14ac:dyDescent="0.3">
      <c r="B86" s="14">
        <f>B85</f>
        <v>20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46"/>
    </row>
    <row r="87" spans="2:13" ht="90" customHeight="1" x14ac:dyDescent="0.3">
      <c r="B87" s="14">
        <f>B85</f>
        <v>20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47"/>
    </row>
    <row r="88" spans="2:13" ht="90" customHeight="1" x14ac:dyDescent="0.3">
      <c r="B88" s="14">
        <f>B85</f>
        <v>20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46"/>
    </row>
    <row r="89" spans="2:13" ht="90" customHeight="1" x14ac:dyDescent="0.3">
      <c r="B89" s="14">
        <f>B85</f>
        <v>20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47"/>
    </row>
    <row r="90" spans="2:13" ht="90" customHeight="1" x14ac:dyDescent="0.3">
      <c r="B90" s="14">
        <f>B85</f>
        <v>20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46"/>
    </row>
    <row r="91" spans="2:13" ht="90" customHeight="1" thickBot="1" x14ac:dyDescent="0.35">
      <c r="B91" s="14">
        <f>B85</f>
        <v>20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48"/>
    </row>
    <row r="92" spans="2:13" ht="90" customHeight="1" thickTop="1" x14ac:dyDescent="0.3">
      <c r="B92" s="4">
        <v>21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57"/>
    </row>
    <row r="93" spans="2:13" ht="90" customHeight="1" x14ac:dyDescent="0.3">
      <c r="B93" s="19">
        <f>B92</f>
        <v>21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47"/>
    </row>
    <row r="94" spans="2:13" ht="90" customHeight="1" x14ac:dyDescent="0.3">
      <c r="B94" s="19">
        <f>B92</f>
        <v>21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46"/>
    </row>
    <row r="95" spans="2:13" ht="90" customHeight="1" x14ac:dyDescent="0.3">
      <c r="B95" s="19">
        <f>B92</f>
        <v>21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47"/>
    </row>
    <row r="96" spans="2:13" ht="90" customHeight="1" x14ac:dyDescent="0.3">
      <c r="B96" s="19">
        <f>B92</f>
        <v>21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46"/>
    </row>
    <row r="97" spans="2:13" ht="90" customHeight="1" x14ac:dyDescent="0.3">
      <c r="B97" s="19">
        <f>B92</f>
        <v>21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47"/>
    </row>
    <row r="98" spans="2:13" ht="90" customHeight="1" thickBot="1" x14ac:dyDescent="0.35">
      <c r="B98" s="19">
        <f>B92</f>
        <v>21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49"/>
    </row>
    <row r="99" spans="2:13" ht="90" customHeight="1" thickTop="1" x14ac:dyDescent="0.3">
      <c r="B99" s="3">
        <v>22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56"/>
    </row>
    <row r="100" spans="2:13" ht="90" customHeight="1" x14ac:dyDescent="0.3">
      <c r="B100" s="14">
        <f>B99</f>
        <v>22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46"/>
    </row>
    <row r="101" spans="2:13" ht="90" customHeight="1" x14ac:dyDescent="0.3">
      <c r="B101" s="14">
        <f>B99</f>
        <v>22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47"/>
    </row>
    <row r="102" spans="2:13" ht="90" customHeight="1" x14ac:dyDescent="0.3">
      <c r="B102" s="14">
        <f>B99</f>
        <v>22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46"/>
    </row>
    <row r="103" spans="2:13" ht="90" customHeight="1" x14ac:dyDescent="0.3">
      <c r="B103" s="14">
        <f>B99</f>
        <v>22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47"/>
    </row>
    <row r="104" spans="2:13" ht="90" customHeight="1" x14ac:dyDescent="0.3">
      <c r="B104" s="14">
        <f>B99</f>
        <v>22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46"/>
    </row>
    <row r="105" spans="2:13" ht="90" customHeight="1" thickBot="1" x14ac:dyDescent="0.35">
      <c r="B105" s="22">
        <f>B99</f>
        <v>22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48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105">
    <cfRule type="expression" dxfId="7" priority="1">
      <formula>AND(ROW()&gt;=15,MOD(ROW()-15,2)=1)</formula>
    </cfRule>
    <cfRule type="expression" dxfId="6" priority="2">
      <formula>AND(ROW()&gt;=15,MOD(ROW()-15,2)=0)</formula>
    </cfRule>
  </conditionalFormatting>
  <dataValidations count="9">
    <dataValidation type="list" allowBlank="1" showInputMessage="1" showErrorMessage="1" sqref="H8" xr:uid="{6CA69445-53BE-4A75-9851-821906294FAD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038486D6-7E8E-46B2-B1C0-8EFF8CC896CA}">
      <formula1>"Leerjaar 1,Leerjaar 2,Leerjaar 3,Leerjaar 4"</formula1>
    </dataValidation>
    <dataValidation type="list" allowBlank="1" showInputMessage="1" showErrorMessage="1" sqref="L8" xr:uid="{9F2AC277-C75A-4499-8D75-87CC65216E21}">
      <formula1>"BOL,BBL"</formula1>
    </dataValidation>
    <dataValidation type="list" allowBlank="1" showInputMessage="1" showErrorMessage="1" sqref="E8" xr:uid="{63AED051-6021-47BA-82A4-DACC03B609BE}">
      <formula1>"Selecteer,1280 uur,960 uur"</formula1>
    </dataValidation>
    <dataValidation type="list" allowBlank="1" showInputMessage="1" showErrorMessage="1" sqref="I2" xr:uid="{5C5995BA-9512-4C82-A95D-33DB487A4F50}">
      <formula1>"Selecteer,Jaar 1,Jaar 2,Jaar 3,Jaar 4"</formula1>
    </dataValidation>
    <dataValidation type="list" allowBlank="1" showInputMessage="1" showErrorMessage="1" sqref="H7 G6" xr:uid="{80467660-C187-4439-A342-87259ADC2048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2EE4A8A0-4A8F-4B91-A015-54608B1D9809}">
      <formula1>"Selecteer,Leerjaar 1,Leerjaar 2,Leerjaar 3,Leerjaar 4"</formula1>
    </dataValidation>
    <dataValidation type="list" allowBlank="1" showInputMessage="1" showErrorMessage="1" sqref="L7 K6" xr:uid="{61766828-860D-496F-BAF4-F851A2393E7B}">
      <formula1>"Selecteer,BOL,BBL"</formula1>
    </dataValidation>
    <dataValidation type="list" allowBlank="1" showInputMessage="1" showErrorMessage="1" sqref="G8" xr:uid="{B8874177-6C38-420C-B863-09E6216A219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  <ignoredErrors>
    <ignoredError sqref="E2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C3E7-60FE-4CA6-81C0-A0F8D85D58B3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92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10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11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12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13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14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15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16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17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18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19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20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21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22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5" priority="1">
      <formula>AND(ROW()&gt;=15,MOD(ROW()-15,2)=1)</formula>
    </cfRule>
    <cfRule type="expression" dxfId="4" priority="2">
      <formula>AND(ROW()&gt;=15,MOD(ROW()-15,2)=0)</formula>
    </cfRule>
  </conditionalFormatting>
  <dataValidations count="9">
    <dataValidation type="list" allowBlank="1" showInputMessage="1" showErrorMessage="1" sqref="G8" xr:uid="{4F21AA77-201B-4357-B071-F1D3A42E705D}">
      <formula1>"Selecteer,2025/2026,2026/2027,2027/2028,2028/2029,2029/2030,2030/2031,2031/2032,2032/2033,2033/2034,2034/2035"</formula1>
    </dataValidation>
    <dataValidation type="list" allowBlank="1" showInputMessage="1" showErrorMessage="1" sqref="L7 K6" xr:uid="{D15CCC93-C46C-446B-A816-34A6CA0918B2}">
      <formula1>"Selecteer,BOL,BBL"</formula1>
    </dataValidation>
    <dataValidation type="list" allowBlank="1" showInputMessage="1" showErrorMessage="1" sqref="J7 I6" xr:uid="{E65DA120-7649-4FC4-94A3-DE5F18FCA5F8}">
      <formula1>"Selecteer,Leerjaar 1,Leerjaar 2,Leerjaar 3,Leerjaar 4"</formula1>
    </dataValidation>
    <dataValidation type="list" allowBlank="1" showInputMessage="1" showErrorMessage="1" sqref="H7 G6" xr:uid="{213B153D-F763-4479-97E6-B244841263A6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E940C3A3-14B1-4C05-B9E6-F006D78C8FD6}">
      <formula1>"Selecteer,Jaar 1,Jaar 2,Jaar 3,Jaar 4"</formula1>
    </dataValidation>
    <dataValidation type="list" allowBlank="1" showInputMessage="1" showErrorMessage="1" sqref="E8" xr:uid="{C0C5BA77-BE2A-4AD4-AC4C-1092A7B7889E}">
      <formula1>"Selecteer,1280 uur,960 uur"</formula1>
    </dataValidation>
    <dataValidation type="list" allowBlank="1" showInputMessage="1" showErrorMessage="1" sqref="L8" xr:uid="{1970FE80-9C77-45E6-AD62-36D398256FCA}">
      <formula1>"BOL,BBL"</formula1>
    </dataValidation>
    <dataValidation type="list" allowBlank="1" showInputMessage="1" showErrorMessage="1" sqref="J8" xr:uid="{D95360F1-5A92-4809-9F84-D838EFBD0C57}">
      <formula1>"Leerjaar 1,Leerjaar 2,Leerjaar 3,Leerjaar 4"</formula1>
    </dataValidation>
    <dataValidation type="list" allowBlank="1" showInputMessage="1" showErrorMessage="1" sqref="H8" xr:uid="{6FD5B336-13E3-4841-ADB4-64FAE73A20E0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3FCE8-55D3-4034-988C-7C947ECD2486}">
  <sheetPr>
    <pageSetUpPr fitToPage="1"/>
  </sheetPr>
  <dimension ref="B1:M10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tr">
        <f>'OPL.PLAN JAAR 4 @ PERIODE 1'!E2</f>
        <v xml:space="preserve">[NAAM LEERBEDRIJF] 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93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10" t="s">
        <v>66</v>
      </c>
      <c r="C14" s="11" t="s">
        <v>67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x14ac:dyDescent="0.3">
      <c r="B15" s="3">
        <v>23</v>
      </c>
      <c r="C15" s="13" t="s">
        <v>78</v>
      </c>
      <c r="D15" s="50"/>
      <c r="E15" s="53"/>
      <c r="F15" s="53"/>
      <c r="G15" s="53"/>
      <c r="H15" s="53"/>
      <c r="I15" s="53"/>
      <c r="J15" s="53"/>
      <c r="K15" s="39"/>
      <c r="L15" s="39"/>
      <c r="M15" s="53"/>
    </row>
    <row r="16" spans="2:13" ht="90" customHeight="1" x14ac:dyDescent="0.3">
      <c r="B16" s="14">
        <f>B15</f>
        <v>23</v>
      </c>
      <c r="C16" s="15" t="s">
        <v>87</v>
      </c>
      <c r="D16" s="40"/>
      <c r="E16" s="46"/>
      <c r="F16" s="46"/>
      <c r="G16" s="46"/>
      <c r="H16" s="46"/>
      <c r="I16" s="46"/>
      <c r="J16" s="46"/>
      <c r="K16" s="40"/>
      <c r="L16" s="40"/>
      <c r="M16" s="46"/>
    </row>
    <row r="17" spans="2:13" ht="90" customHeight="1" x14ac:dyDescent="0.3">
      <c r="B17" s="14">
        <f>B15</f>
        <v>23</v>
      </c>
      <c r="C17" s="16" t="s">
        <v>88</v>
      </c>
      <c r="D17" s="41"/>
      <c r="E17" s="53"/>
      <c r="F17" s="47"/>
      <c r="G17" s="47"/>
      <c r="H17" s="47"/>
      <c r="I17" s="54"/>
      <c r="J17" s="47"/>
      <c r="K17" s="41"/>
      <c r="L17" s="41"/>
      <c r="M17" s="47"/>
    </row>
    <row r="18" spans="2:13" ht="90" customHeight="1" x14ac:dyDescent="0.3">
      <c r="B18" s="14">
        <f>B15</f>
        <v>23</v>
      </c>
      <c r="C18" s="15" t="s">
        <v>87</v>
      </c>
      <c r="D18" s="40"/>
      <c r="E18" s="53"/>
      <c r="F18" s="46"/>
      <c r="G18" s="46"/>
      <c r="H18" s="46"/>
      <c r="I18" s="46"/>
      <c r="J18" s="46"/>
      <c r="K18" s="40"/>
      <c r="L18" s="40"/>
      <c r="M18" s="46"/>
    </row>
    <row r="19" spans="2:13" ht="90" customHeight="1" x14ac:dyDescent="0.3">
      <c r="B19" s="14">
        <f>B15</f>
        <v>23</v>
      </c>
      <c r="C19" s="16" t="s">
        <v>89</v>
      </c>
      <c r="D19" s="41"/>
      <c r="E19" s="46"/>
      <c r="F19" s="47"/>
      <c r="G19" s="47"/>
      <c r="H19" s="47"/>
      <c r="I19" s="47"/>
      <c r="J19" s="47"/>
      <c r="K19" s="41"/>
      <c r="L19" s="41"/>
      <c r="M19" s="47"/>
    </row>
    <row r="20" spans="2:13" ht="90" customHeight="1" x14ac:dyDescent="0.3">
      <c r="B20" s="14">
        <f>B15</f>
        <v>23</v>
      </c>
      <c r="C20" s="15" t="s">
        <v>90</v>
      </c>
      <c r="D20" s="40"/>
      <c r="E20" s="53"/>
      <c r="F20" s="46"/>
      <c r="G20" s="46"/>
      <c r="H20" s="46"/>
      <c r="I20" s="46"/>
      <c r="J20" s="46"/>
      <c r="K20" s="40"/>
      <c r="L20" s="40"/>
      <c r="M20" s="46"/>
    </row>
    <row r="21" spans="2:13" ht="90" customHeight="1" thickBot="1" x14ac:dyDescent="0.35">
      <c r="B21" s="14">
        <f>B15</f>
        <v>23</v>
      </c>
      <c r="C21" s="17" t="s">
        <v>90</v>
      </c>
      <c r="D21" s="42"/>
      <c r="E21" s="55"/>
      <c r="F21" s="48"/>
      <c r="G21" s="48"/>
      <c r="H21" s="48"/>
      <c r="I21" s="48"/>
      <c r="J21" s="48"/>
      <c r="K21" s="42"/>
      <c r="L21" s="42"/>
      <c r="M21" s="48"/>
    </row>
    <row r="22" spans="2:13" ht="90" customHeight="1" thickTop="1" x14ac:dyDescent="0.3">
      <c r="B22" s="4">
        <v>24</v>
      </c>
      <c r="C22" s="18" t="s">
        <v>78</v>
      </c>
      <c r="D22" s="51"/>
      <c r="E22" s="56"/>
      <c r="F22" s="57"/>
      <c r="G22" s="57"/>
      <c r="H22" s="57"/>
      <c r="I22" s="57"/>
      <c r="J22" s="57"/>
      <c r="K22" s="43"/>
      <c r="L22" s="43"/>
      <c r="M22" s="57"/>
    </row>
    <row r="23" spans="2:13" ht="90" customHeight="1" x14ac:dyDescent="0.3">
      <c r="B23" s="19">
        <f>B22</f>
        <v>24</v>
      </c>
      <c r="C23" s="16" t="s">
        <v>87</v>
      </c>
      <c r="D23" s="41"/>
      <c r="E23" s="46"/>
      <c r="F23" s="47"/>
      <c r="G23" s="47"/>
      <c r="H23" s="47"/>
      <c r="I23" s="47"/>
      <c r="J23" s="47"/>
      <c r="K23" s="41"/>
      <c r="L23" s="41"/>
      <c r="M23" s="47"/>
    </row>
    <row r="24" spans="2:13" ht="90" customHeight="1" x14ac:dyDescent="0.3">
      <c r="B24" s="19">
        <f>B22</f>
        <v>24</v>
      </c>
      <c r="C24" s="15" t="s">
        <v>88</v>
      </c>
      <c r="D24" s="40"/>
      <c r="E24" s="53"/>
      <c r="F24" s="46"/>
      <c r="G24" s="46"/>
      <c r="H24" s="46"/>
      <c r="I24" s="58"/>
      <c r="J24" s="46"/>
      <c r="K24" s="40"/>
      <c r="L24" s="40"/>
      <c r="M24" s="46"/>
    </row>
    <row r="25" spans="2:13" ht="90" customHeight="1" x14ac:dyDescent="0.3">
      <c r="B25" s="19">
        <f>B22</f>
        <v>24</v>
      </c>
      <c r="C25" s="16" t="s">
        <v>87</v>
      </c>
      <c r="D25" s="41"/>
      <c r="E25" s="46"/>
      <c r="F25" s="47"/>
      <c r="G25" s="47"/>
      <c r="H25" s="47"/>
      <c r="I25" s="47"/>
      <c r="J25" s="47"/>
      <c r="K25" s="41"/>
      <c r="L25" s="41"/>
      <c r="M25" s="47"/>
    </row>
    <row r="26" spans="2:13" ht="90" customHeight="1" x14ac:dyDescent="0.3">
      <c r="B26" s="19">
        <f>B22</f>
        <v>24</v>
      </c>
      <c r="C26" s="15" t="s">
        <v>89</v>
      </c>
      <c r="D26" s="40"/>
      <c r="E26" s="53"/>
      <c r="F26" s="46"/>
      <c r="G26" s="46"/>
      <c r="H26" s="46"/>
      <c r="I26" s="46"/>
      <c r="J26" s="46"/>
      <c r="K26" s="40"/>
      <c r="L26" s="40"/>
      <c r="M26" s="46"/>
    </row>
    <row r="27" spans="2:13" ht="90" customHeight="1" x14ac:dyDescent="0.3">
      <c r="B27" s="19">
        <f>B22</f>
        <v>24</v>
      </c>
      <c r="C27" s="16" t="s">
        <v>90</v>
      </c>
      <c r="D27" s="41"/>
      <c r="E27" s="46"/>
      <c r="F27" s="47"/>
      <c r="G27" s="47"/>
      <c r="H27" s="47"/>
      <c r="I27" s="47"/>
      <c r="J27" s="47"/>
      <c r="K27" s="41"/>
      <c r="L27" s="41"/>
      <c r="M27" s="47"/>
    </row>
    <row r="28" spans="2:13" ht="90" customHeight="1" thickBot="1" x14ac:dyDescent="0.35">
      <c r="B28" s="19">
        <f>B22</f>
        <v>24</v>
      </c>
      <c r="C28" s="20" t="s">
        <v>90</v>
      </c>
      <c r="D28" s="44"/>
      <c r="E28" s="55"/>
      <c r="F28" s="49"/>
      <c r="G28" s="49"/>
      <c r="H28" s="49"/>
      <c r="I28" s="49"/>
      <c r="J28" s="49"/>
      <c r="K28" s="44"/>
      <c r="L28" s="44"/>
      <c r="M28" s="49"/>
    </row>
    <row r="29" spans="2:13" ht="90" customHeight="1" thickTop="1" x14ac:dyDescent="0.3">
      <c r="B29" s="3">
        <v>25</v>
      </c>
      <c r="C29" s="21" t="s">
        <v>78</v>
      </c>
      <c r="D29" s="52"/>
      <c r="E29" s="56"/>
      <c r="F29" s="56"/>
      <c r="G29" s="56"/>
      <c r="H29" s="56"/>
      <c r="I29" s="56"/>
      <c r="J29" s="56"/>
      <c r="K29" s="45"/>
      <c r="L29" s="45"/>
      <c r="M29" s="56"/>
    </row>
    <row r="30" spans="2:13" ht="90" customHeight="1" x14ac:dyDescent="0.3">
      <c r="B30" s="14">
        <f>B29</f>
        <v>25</v>
      </c>
      <c r="C30" s="15" t="s">
        <v>87</v>
      </c>
      <c r="D30" s="40"/>
      <c r="E30" s="46"/>
      <c r="F30" s="46"/>
      <c r="G30" s="46"/>
      <c r="H30" s="46"/>
      <c r="I30" s="46"/>
      <c r="J30" s="46"/>
      <c r="K30" s="40"/>
      <c r="L30" s="40"/>
      <c r="M30" s="46"/>
    </row>
    <row r="31" spans="2:13" ht="90" customHeight="1" x14ac:dyDescent="0.3">
      <c r="B31" s="14">
        <f>B29</f>
        <v>25</v>
      </c>
      <c r="C31" s="16" t="s">
        <v>88</v>
      </c>
      <c r="D31" s="41"/>
      <c r="E31" s="53"/>
      <c r="F31" s="47"/>
      <c r="G31" s="47"/>
      <c r="H31" s="47"/>
      <c r="I31" s="54"/>
      <c r="J31" s="47"/>
      <c r="K31" s="41"/>
      <c r="L31" s="41"/>
      <c r="M31" s="47"/>
    </row>
    <row r="32" spans="2:13" ht="90" customHeight="1" x14ac:dyDescent="0.3">
      <c r="B32" s="14">
        <f>B29</f>
        <v>25</v>
      </c>
      <c r="C32" s="15" t="s">
        <v>87</v>
      </c>
      <c r="D32" s="40"/>
      <c r="E32" s="46"/>
      <c r="F32" s="46"/>
      <c r="G32" s="46"/>
      <c r="H32" s="46"/>
      <c r="I32" s="46"/>
      <c r="J32" s="46"/>
      <c r="K32" s="40"/>
      <c r="L32" s="40"/>
      <c r="M32" s="46"/>
    </row>
    <row r="33" spans="2:13" ht="90" customHeight="1" x14ac:dyDescent="0.3">
      <c r="B33" s="14">
        <f>B29</f>
        <v>25</v>
      </c>
      <c r="C33" s="16" t="s">
        <v>89</v>
      </c>
      <c r="D33" s="41"/>
      <c r="E33" s="53"/>
      <c r="F33" s="47"/>
      <c r="G33" s="47"/>
      <c r="H33" s="47"/>
      <c r="I33" s="47"/>
      <c r="J33" s="47"/>
      <c r="K33" s="41"/>
      <c r="L33" s="41"/>
      <c r="M33" s="47"/>
    </row>
    <row r="34" spans="2:13" ht="90" customHeight="1" x14ac:dyDescent="0.3">
      <c r="B34" s="14">
        <f>B29</f>
        <v>25</v>
      </c>
      <c r="C34" s="15" t="s">
        <v>90</v>
      </c>
      <c r="D34" s="40"/>
      <c r="E34" s="46"/>
      <c r="F34" s="46"/>
      <c r="G34" s="46"/>
      <c r="H34" s="46"/>
      <c r="I34" s="46"/>
      <c r="J34" s="46"/>
      <c r="K34" s="40"/>
      <c r="L34" s="40"/>
      <c r="M34" s="46"/>
    </row>
    <row r="35" spans="2:13" ht="90" customHeight="1" thickBot="1" x14ac:dyDescent="0.35">
      <c r="B35" s="14">
        <f>B29</f>
        <v>25</v>
      </c>
      <c r="C35" s="17" t="s">
        <v>90</v>
      </c>
      <c r="D35" s="42"/>
      <c r="E35" s="55"/>
      <c r="F35" s="48"/>
      <c r="G35" s="48"/>
      <c r="H35" s="48"/>
      <c r="I35" s="48"/>
      <c r="J35" s="48"/>
      <c r="K35" s="42"/>
      <c r="L35" s="42"/>
      <c r="M35" s="48"/>
    </row>
    <row r="36" spans="2:13" ht="90" customHeight="1" thickTop="1" x14ac:dyDescent="0.3">
      <c r="B36" s="4">
        <v>26</v>
      </c>
      <c r="C36" s="18" t="s">
        <v>78</v>
      </c>
      <c r="D36" s="51"/>
      <c r="E36" s="56"/>
      <c r="F36" s="57"/>
      <c r="G36" s="57"/>
      <c r="H36" s="57"/>
      <c r="I36" s="57"/>
      <c r="J36" s="57"/>
      <c r="K36" s="43"/>
      <c r="L36" s="43"/>
      <c r="M36" s="57"/>
    </row>
    <row r="37" spans="2:13" ht="90" customHeight="1" x14ac:dyDescent="0.3">
      <c r="B37" s="19">
        <f>B36</f>
        <v>26</v>
      </c>
      <c r="C37" s="16" t="s">
        <v>87</v>
      </c>
      <c r="D37" s="41"/>
      <c r="E37" s="46"/>
      <c r="F37" s="47"/>
      <c r="G37" s="47"/>
      <c r="H37" s="47"/>
      <c r="I37" s="47"/>
      <c r="J37" s="47"/>
      <c r="K37" s="41"/>
      <c r="L37" s="41"/>
      <c r="M37" s="47"/>
    </row>
    <row r="38" spans="2:13" ht="90" customHeight="1" x14ac:dyDescent="0.3">
      <c r="B38" s="19">
        <f>B36</f>
        <v>26</v>
      </c>
      <c r="C38" s="15" t="s">
        <v>88</v>
      </c>
      <c r="D38" s="40"/>
      <c r="E38" s="53"/>
      <c r="F38" s="46"/>
      <c r="G38" s="46"/>
      <c r="H38" s="46"/>
      <c r="I38" s="58"/>
      <c r="J38" s="46"/>
      <c r="K38" s="40"/>
      <c r="L38" s="40"/>
      <c r="M38" s="46"/>
    </row>
    <row r="39" spans="2:13" ht="90" customHeight="1" x14ac:dyDescent="0.3">
      <c r="B39" s="19">
        <f>B36</f>
        <v>26</v>
      </c>
      <c r="C39" s="16" t="s">
        <v>87</v>
      </c>
      <c r="D39" s="41"/>
      <c r="E39" s="46"/>
      <c r="F39" s="47"/>
      <c r="G39" s="47"/>
      <c r="H39" s="47"/>
      <c r="I39" s="47"/>
      <c r="J39" s="47"/>
      <c r="K39" s="41"/>
      <c r="L39" s="41"/>
      <c r="M39" s="47"/>
    </row>
    <row r="40" spans="2:13" ht="90" customHeight="1" x14ac:dyDescent="0.3">
      <c r="B40" s="19">
        <f>B36</f>
        <v>26</v>
      </c>
      <c r="C40" s="15" t="s">
        <v>89</v>
      </c>
      <c r="D40" s="40"/>
      <c r="E40" s="53"/>
      <c r="F40" s="46"/>
      <c r="G40" s="46"/>
      <c r="H40" s="46"/>
      <c r="I40" s="46"/>
      <c r="J40" s="46"/>
      <c r="K40" s="40"/>
      <c r="L40" s="40"/>
      <c r="M40" s="46"/>
    </row>
    <row r="41" spans="2:13" ht="90" customHeight="1" x14ac:dyDescent="0.3">
      <c r="B41" s="19">
        <f>B36</f>
        <v>26</v>
      </c>
      <c r="C41" s="16" t="s">
        <v>90</v>
      </c>
      <c r="D41" s="41"/>
      <c r="E41" s="46"/>
      <c r="F41" s="47"/>
      <c r="G41" s="47"/>
      <c r="H41" s="47"/>
      <c r="I41" s="47"/>
      <c r="J41" s="47"/>
      <c r="K41" s="41"/>
      <c r="L41" s="41"/>
      <c r="M41" s="47"/>
    </row>
    <row r="42" spans="2:13" ht="90" customHeight="1" thickBot="1" x14ac:dyDescent="0.35">
      <c r="B42" s="19">
        <f>B36</f>
        <v>26</v>
      </c>
      <c r="C42" s="20" t="s">
        <v>90</v>
      </c>
      <c r="D42" s="44"/>
      <c r="E42" s="53"/>
      <c r="F42" s="49"/>
      <c r="G42" s="49"/>
      <c r="H42" s="49"/>
      <c r="I42" s="49"/>
      <c r="J42" s="49"/>
      <c r="K42" s="44"/>
      <c r="L42" s="44"/>
      <c r="M42" s="49"/>
    </row>
    <row r="43" spans="2:13" ht="90" customHeight="1" thickTop="1" x14ac:dyDescent="0.3">
      <c r="B43" s="3">
        <v>27</v>
      </c>
      <c r="C43" s="21" t="s">
        <v>78</v>
      </c>
      <c r="D43" s="52"/>
      <c r="E43" s="56"/>
      <c r="F43" s="56"/>
      <c r="G43" s="56"/>
      <c r="H43" s="56"/>
      <c r="I43" s="56"/>
      <c r="J43" s="56"/>
      <c r="K43" s="45"/>
      <c r="L43" s="45"/>
      <c r="M43" s="56"/>
    </row>
    <row r="44" spans="2:13" ht="90" customHeight="1" x14ac:dyDescent="0.3">
      <c r="B44" s="14">
        <f>B43</f>
        <v>27</v>
      </c>
      <c r="C44" s="15" t="s">
        <v>87</v>
      </c>
      <c r="D44" s="40"/>
      <c r="E44" s="46"/>
      <c r="F44" s="46"/>
      <c r="G44" s="46"/>
      <c r="H44" s="46"/>
      <c r="I44" s="46"/>
      <c r="J44" s="46"/>
      <c r="K44" s="40"/>
      <c r="L44" s="40"/>
      <c r="M44" s="46"/>
    </row>
    <row r="45" spans="2:13" ht="90" customHeight="1" x14ac:dyDescent="0.3">
      <c r="B45" s="14">
        <f>B43</f>
        <v>27</v>
      </c>
      <c r="C45" s="16" t="s">
        <v>88</v>
      </c>
      <c r="D45" s="41"/>
      <c r="E45" s="47"/>
      <c r="F45" s="47"/>
      <c r="G45" s="47"/>
      <c r="H45" s="47"/>
      <c r="I45" s="54"/>
      <c r="J45" s="47"/>
      <c r="K45" s="41"/>
      <c r="L45" s="41"/>
      <c r="M45" s="47"/>
    </row>
    <row r="46" spans="2:13" ht="90" customHeight="1" x14ac:dyDescent="0.3">
      <c r="B46" s="14">
        <f>B43</f>
        <v>27</v>
      </c>
      <c r="C46" s="15" t="s">
        <v>87</v>
      </c>
      <c r="D46" s="40"/>
      <c r="E46" s="46"/>
      <c r="F46" s="46"/>
      <c r="G46" s="46"/>
      <c r="H46" s="46"/>
      <c r="I46" s="46"/>
      <c r="J46" s="46"/>
      <c r="K46" s="40"/>
      <c r="L46" s="40"/>
      <c r="M46" s="46"/>
    </row>
    <row r="47" spans="2:13" ht="90" customHeight="1" x14ac:dyDescent="0.3">
      <c r="B47" s="14">
        <f>B43</f>
        <v>27</v>
      </c>
      <c r="C47" s="16" t="s">
        <v>89</v>
      </c>
      <c r="D47" s="41"/>
      <c r="E47" s="46"/>
      <c r="F47" s="47"/>
      <c r="G47" s="47"/>
      <c r="H47" s="47"/>
      <c r="I47" s="47"/>
      <c r="J47" s="47"/>
      <c r="K47" s="41"/>
      <c r="L47" s="41"/>
      <c r="M47" s="47"/>
    </row>
    <row r="48" spans="2:13" ht="90" customHeight="1" x14ac:dyDescent="0.3">
      <c r="B48" s="14">
        <f>B43</f>
        <v>27</v>
      </c>
      <c r="C48" s="15" t="s">
        <v>90</v>
      </c>
      <c r="D48" s="40"/>
      <c r="E48" s="46"/>
      <c r="F48" s="46"/>
      <c r="G48" s="46"/>
      <c r="H48" s="46"/>
      <c r="I48" s="46"/>
      <c r="J48" s="46"/>
      <c r="K48" s="40"/>
      <c r="L48" s="40"/>
      <c r="M48" s="46"/>
    </row>
    <row r="49" spans="2:13" ht="90" customHeight="1" thickBot="1" x14ac:dyDescent="0.35">
      <c r="B49" s="14">
        <f>B43</f>
        <v>27</v>
      </c>
      <c r="C49" s="17" t="s">
        <v>90</v>
      </c>
      <c r="D49" s="42"/>
      <c r="E49" s="48"/>
      <c r="F49" s="48"/>
      <c r="G49" s="48"/>
      <c r="H49" s="48"/>
      <c r="I49" s="48"/>
      <c r="J49" s="48"/>
      <c r="K49" s="42"/>
      <c r="L49" s="42"/>
      <c r="M49" s="48"/>
    </row>
    <row r="50" spans="2:13" ht="90" customHeight="1" thickTop="1" x14ac:dyDescent="0.3">
      <c r="B50" s="4">
        <v>28</v>
      </c>
      <c r="C50" s="18" t="s">
        <v>78</v>
      </c>
      <c r="D50" s="51"/>
      <c r="E50" s="57"/>
      <c r="F50" s="57"/>
      <c r="G50" s="57"/>
      <c r="H50" s="57"/>
      <c r="I50" s="57"/>
      <c r="J50" s="57"/>
      <c r="K50" s="43"/>
      <c r="L50" s="43"/>
      <c r="M50" s="57"/>
    </row>
    <row r="51" spans="2:13" ht="90" customHeight="1" x14ac:dyDescent="0.3">
      <c r="B51" s="19">
        <f>B50</f>
        <v>28</v>
      </c>
      <c r="C51" s="16" t="s">
        <v>87</v>
      </c>
      <c r="D51" s="41"/>
      <c r="E51" s="47"/>
      <c r="F51" s="47"/>
      <c r="G51" s="47"/>
      <c r="H51" s="47"/>
      <c r="I51" s="47"/>
      <c r="J51" s="47"/>
      <c r="K51" s="41"/>
      <c r="L51" s="41"/>
      <c r="M51" s="47"/>
    </row>
    <row r="52" spans="2:13" ht="90" customHeight="1" x14ac:dyDescent="0.3">
      <c r="B52" s="19">
        <f>B50</f>
        <v>28</v>
      </c>
      <c r="C52" s="15" t="s">
        <v>88</v>
      </c>
      <c r="D52" s="40"/>
      <c r="E52" s="46"/>
      <c r="F52" s="46"/>
      <c r="G52" s="46"/>
      <c r="H52" s="46"/>
      <c r="I52" s="58"/>
      <c r="J52" s="46"/>
      <c r="K52" s="40"/>
      <c r="L52" s="40"/>
      <c r="M52" s="46"/>
    </row>
    <row r="53" spans="2:13" ht="90" customHeight="1" x14ac:dyDescent="0.3">
      <c r="B53" s="19">
        <f>B50</f>
        <v>28</v>
      </c>
      <c r="C53" s="16" t="s">
        <v>87</v>
      </c>
      <c r="D53" s="41"/>
      <c r="E53" s="47"/>
      <c r="F53" s="47"/>
      <c r="G53" s="47"/>
      <c r="H53" s="47"/>
      <c r="I53" s="47"/>
      <c r="J53" s="47"/>
      <c r="K53" s="41"/>
      <c r="L53" s="41"/>
      <c r="M53" s="47"/>
    </row>
    <row r="54" spans="2:13" ht="90" customHeight="1" x14ac:dyDescent="0.3">
      <c r="B54" s="19">
        <f>B50</f>
        <v>28</v>
      </c>
      <c r="C54" s="15" t="s">
        <v>89</v>
      </c>
      <c r="D54" s="40"/>
      <c r="E54" s="46"/>
      <c r="F54" s="46"/>
      <c r="G54" s="46"/>
      <c r="H54" s="46"/>
      <c r="I54" s="46"/>
      <c r="J54" s="46"/>
      <c r="K54" s="40"/>
      <c r="L54" s="40"/>
      <c r="M54" s="46"/>
    </row>
    <row r="55" spans="2:13" ht="90" customHeight="1" x14ac:dyDescent="0.3">
      <c r="B55" s="19">
        <f>B50</f>
        <v>28</v>
      </c>
      <c r="C55" s="16" t="s">
        <v>90</v>
      </c>
      <c r="D55" s="41"/>
      <c r="E55" s="47"/>
      <c r="F55" s="47"/>
      <c r="G55" s="47"/>
      <c r="H55" s="47"/>
      <c r="I55" s="47"/>
      <c r="J55" s="47"/>
      <c r="K55" s="41"/>
      <c r="L55" s="41"/>
      <c r="M55" s="47"/>
    </row>
    <row r="56" spans="2:13" ht="90" customHeight="1" thickBot="1" x14ac:dyDescent="0.35">
      <c r="B56" s="19">
        <f>B50</f>
        <v>28</v>
      </c>
      <c r="C56" s="20" t="s">
        <v>90</v>
      </c>
      <c r="D56" s="44"/>
      <c r="E56" s="49"/>
      <c r="F56" s="49"/>
      <c r="G56" s="49"/>
      <c r="H56" s="49"/>
      <c r="I56" s="49"/>
      <c r="J56" s="49"/>
      <c r="K56" s="44"/>
      <c r="L56" s="44"/>
      <c r="M56" s="49"/>
    </row>
    <row r="57" spans="2:13" ht="90" customHeight="1" thickTop="1" x14ac:dyDescent="0.3">
      <c r="B57" s="3">
        <v>29</v>
      </c>
      <c r="C57" s="21" t="s">
        <v>78</v>
      </c>
      <c r="D57" s="52"/>
      <c r="E57" s="56"/>
      <c r="F57" s="56"/>
      <c r="G57" s="56"/>
      <c r="H57" s="56"/>
      <c r="I57" s="56"/>
      <c r="J57" s="56"/>
      <c r="K57" s="45"/>
      <c r="L57" s="45"/>
      <c r="M57" s="56"/>
    </row>
    <row r="58" spans="2:13" ht="90" customHeight="1" x14ac:dyDescent="0.3">
      <c r="B58" s="14">
        <f>B57</f>
        <v>29</v>
      </c>
      <c r="C58" s="15" t="s">
        <v>87</v>
      </c>
      <c r="D58" s="40"/>
      <c r="E58" s="46"/>
      <c r="F58" s="46"/>
      <c r="G58" s="46"/>
      <c r="H58" s="46"/>
      <c r="I58" s="46"/>
      <c r="J58" s="46"/>
      <c r="K58" s="40"/>
      <c r="L58" s="40"/>
      <c r="M58" s="46"/>
    </row>
    <row r="59" spans="2:13" ht="90" customHeight="1" x14ac:dyDescent="0.3">
      <c r="B59" s="14">
        <f>B57</f>
        <v>29</v>
      </c>
      <c r="C59" s="16" t="s">
        <v>88</v>
      </c>
      <c r="D59" s="41"/>
      <c r="E59" s="47"/>
      <c r="F59" s="47"/>
      <c r="G59" s="47"/>
      <c r="H59" s="47"/>
      <c r="I59" s="54"/>
      <c r="J59" s="47"/>
      <c r="K59" s="41"/>
      <c r="L59" s="41"/>
      <c r="M59" s="47"/>
    </row>
    <row r="60" spans="2:13" ht="90" customHeight="1" x14ac:dyDescent="0.3">
      <c r="B60" s="14">
        <f>B57</f>
        <v>29</v>
      </c>
      <c r="C60" s="15" t="s">
        <v>87</v>
      </c>
      <c r="D60" s="40"/>
      <c r="E60" s="46"/>
      <c r="F60" s="46"/>
      <c r="G60" s="46"/>
      <c r="H60" s="46"/>
      <c r="I60" s="46"/>
      <c r="J60" s="46"/>
      <c r="K60" s="40"/>
      <c r="L60" s="40"/>
      <c r="M60" s="46"/>
    </row>
    <row r="61" spans="2:13" ht="90" customHeight="1" x14ac:dyDescent="0.3">
      <c r="B61" s="14">
        <f>B57</f>
        <v>29</v>
      </c>
      <c r="C61" s="16" t="s">
        <v>89</v>
      </c>
      <c r="D61" s="41"/>
      <c r="E61" s="47"/>
      <c r="F61" s="47"/>
      <c r="G61" s="47"/>
      <c r="H61" s="47"/>
      <c r="I61" s="47"/>
      <c r="J61" s="47"/>
      <c r="K61" s="41"/>
      <c r="L61" s="41"/>
      <c r="M61" s="47"/>
    </row>
    <row r="62" spans="2:13" ht="90" customHeight="1" x14ac:dyDescent="0.3">
      <c r="B62" s="14">
        <f>B57</f>
        <v>29</v>
      </c>
      <c r="C62" s="15" t="s">
        <v>90</v>
      </c>
      <c r="D62" s="40"/>
      <c r="E62" s="46"/>
      <c r="F62" s="46"/>
      <c r="G62" s="46"/>
      <c r="H62" s="46"/>
      <c r="I62" s="46"/>
      <c r="J62" s="46"/>
      <c r="K62" s="40"/>
      <c r="L62" s="40"/>
      <c r="M62" s="46"/>
    </row>
    <row r="63" spans="2:13" ht="90" customHeight="1" thickBot="1" x14ac:dyDescent="0.35">
      <c r="B63" s="14">
        <f>B57</f>
        <v>29</v>
      </c>
      <c r="C63" s="17" t="s">
        <v>90</v>
      </c>
      <c r="D63" s="42"/>
      <c r="E63" s="48"/>
      <c r="F63" s="48"/>
      <c r="G63" s="48"/>
      <c r="H63" s="48"/>
      <c r="I63" s="48"/>
      <c r="J63" s="48"/>
      <c r="K63" s="42"/>
      <c r="L63" s="42"/>
      <c r="M63" s="48"/>
    </row>
    <row r="64" spans="2:13" ht="90" customHeight="1" thickTop="1" x14ac:dyDescent="0.3">
      <c r="B64" s="4">
        <v>30</v>
      </c>
      <c r="C64" s="18" t="s">
        <v>78</v>
      </c>
      <c r="D64" s="51"/>
      <c r="E64" s="57"/>
      <c r="F64" s="57"/>
      <c r="G64" s="57"/>
      <c r="H64" s="57"/>
      <c r="I64" s="57"/>
      <c r="J64" s="57"/>
      <c r="K64" s="43"/>
      <c r="L64" s="43"/>
      <c r="M64" s="57"/>
    </row>
    <row r="65" spans="2:13" ht="90" customHeight="1" x14ac:dyDescent="0.3">
      <c r="B65" s="19">
        <f>B64</f>
        <v>30</v>
      </c>
      <c r="C65" s="16" t="s">
        <v>87</v>
      </c>
      <c r="D65" s="41"/>
      <c r="E65" s="47"/>
      <c r="F65" s="47"/>
      <c r="G65" s="47"/>
      <c r="H65" s="47"/>
      <c r="I65" s="47"/>
      <c r="J65" s="47"/>
      <c r="K65" s="41"/>
      <c r="L65" s="41"/>
      <c r="M65" s="47"/>
    </row>
    <row r="66" spans="2:13" ht="90" customHeight="1" x14ac:dyDescent="0.3">
      <c r="B66" s="19">
        <f>B64</f>
        <v>30</v>
      </c>
      <c r="C66" s="15" t="s">
        <v>88</v>
      </c>
      <c r="D66" s="40"/>
      <c r="E66" s="46"/>
      <c r="F66" s="46"/>
      <c r="G66" s="46"/>
      <c r="H66" s="46"/>
      <c r="I66" s="58"/>
      <c r="J66" s="46"/>
      <c r="K66" s="40"/>
      <c r="L66" s="40"/>
      <c r="M66" s="46"/>
    </row>
    <row r="67" spans="2:13" ht="90" customHeight="1" x14ac:dyDescent="0.3">
      <c r="B67" s="19">
        <f>B64</f>
        <v>30</v>
      </c>
      <c r="C67" s="16" t="s">
        <v>87</v>
      </c>
      <c r="D67" s="41"/>
      <c r="E67" s="47"/>
      <c r="F67" s="47"/>
      <c r="G67" s="47"/>
      <c r="H67" s="47"/>
      <c r="I67" s="47"/>
      <c r="J67" s="47"/>
      <c r="K67" s="41"/>
      <c r="L67" s="41"/>
      <c r="M67" s="47"/>
    </row>
    <row r="68" spans="2:13" ht="90" customHeight="1" x14ac:dyDescent="0.3">
      <c r="B68" s="19">
        <f>B64</f>
        <v>30</v>
      </c>
      <c r="C68" s="15" t="s">
        <v>89</v>
      </c>
      <c r="D68" s="40"/>
      <c r="E68" s="46"/>
      <c r="F68" s="46"/>
      <c r="G68" s="46"/>
      <c r="H68" s="46"/>
      <c r="I68" s="46"/>
      <c r="J68" s="46"/>
      <c r="K68" s="40"/>
      <c r="L68" s="40"/>
      <c r="M68" s="46"/>
    </row>
    <row r="69" spans="2:13" ht="90" customHeight="1" x14ac:dyDescent="0.3">
      <c r="B69" s="19">
        <f>B64</f>
        <v>30</v>
      </c>
      <c r="C69" s="16" t="s">
        <v>90</v>
      </c>
      <c r="D69" s="41"/>
      <c r="E69" s="47"/>
      <c r="F69" s="47"/>
      <c r="G69" s="47"/>
      <c r="H69" s="47"/>
      <c r="I69" s="47"/>
      <c r="J69" s="47"/>
      <c r="K69" s="41"/>
      <c r="L69" s="41"/>
      <c r="M69" s="47"/>
    </row>
    <row r="70" spans="2:13" ht="90" customHeight="1" thickBot="1" x14ac:dyDescent="0.35">
      <c r="B70" s="19">
        <f>B64</f>
        <v>30</v>
      </c>
      <c r="C70" s="20" t="s">
        <v>90</v>
      </c>
      <c r="D70" s="44"/>
      <c r="E70" s="49"/>
      <c r="F70" s="49"/>
      <c r="G70" s="49"/>
      <c r="H70" s="49"/>
      <c r="I70" s="49"/>
      <c r="J70" s="49"/>
      <c r="K70" s="44"/>
      <c r="L70" s="44"/>
      <c r="M70" s="49"/>
    </row>
    <row r="71" spans="2:13" ht="90" customHeight="1" thickTop="1" x14ac:dyDescent="0.3">
      <c r="B71" s="3">
        <v>31</v>
      </c>
      <c r="C71" s="21" t="s">
        <v>78</v>
      </c>
      <c r="D71" s="52"/>
      <c r="E71" s="56"/>
      <c r="F71" s="56"/>
      <c r="G71" s="56"/>
      <c r="H71" s="56"/>
      <c r="I71" s="56"/>
      <c r="J71" s="56"/>
      <c r="K71" s="45"/>
      <c r="L71" s="45"/>
      <c r="M71" s="56"/>
    </row>
    <row r="72" spans="2:13" ht="90" customHeight="1" x14ac:dyDescent="0.3">
      <c r="B72" s="14">
        <f>B71</f>
        <v>31</v>
      </c>
      <c r="C72" s="15" t="s">
        <v>87</v>
      </c>
      <c r="D72" s="40"/>
      <c r="E72" s="46"/>
      <c r="F72" s="46"/>
      <c r="G72" s="46"/>
      <c r="H72" s="46"/>
      <c r="I72" s="46"/>
      <c r="J72" s="46"/>
      <c r="K72" s="40"/>
      <c r="L72" s="40"/>
      <c r="M72" s="46"/>
    </row>
    <row r="73" spans="2:13" ht="90" customHeight="1" x14ac:dyDescent="0.3">
      <c r="B73" s="14">
        <f>B71</f>
        <v>31</v>
      </c>
      <c r="C73" s="16" t="s">
        <v>88</v>
      </c>
      <c r="D73" s="41"/>
      <c r="E73" s="47"/>
      <c r="F73" s="47"/>
      <c r="G73" s="47"/>
      <c r="H73" s="47"/>
      <c r="I73" s="54"/>
      <c r="J73" s="47"/>
      <c r="K73" s="41"/>
      <c r="L73" s="41"/>
      <c r="M73" s="47"/>
    </row>
    <row r="74" spans="2:13" ht="90" customHeight="1" x14ac:dyDescent="0.3">
      <c r="B74" s="14">
        <f>B71</f>
        <v>31</v>
      </c>
      <c r="C74" s="15" t="s">
        <v>87</v>
      </c>
      <c r="D74" s="40"/>
      <c r="E74" s="46"/>
      <c r="F74" s="46"/>
      <c r="G74" s="46"/>
      <c r="H74" s="46"/>
      <c r="I74" s="46"/>
      <c r="J74" s="46"/>
      <c r="K74" s="40"/>
      <c r="L74" s="40"/>
      <c r="M74" s="46"/>
    </row>
    <row r="75" spans="2:13" ht="90" customHeight="1" x14ac:dyDescent="0.3">
      <c r="B75" s="14">
        <f>B71</f>
        <v>31</v>
      </c>
      <c r="C75" s="16" t="s">
        <v>89</v>
      </c>
      <c r="D75" s="41"/>
      <c r="E75" s="47"/>
      <c r="F75" s="47"/>
      <c r="G75" s="47"/>
      <c r="H75" s="47"/>
      <c r="I75" s="47"/>
      <c r="J75" s="47"/>
      <c r="K75" s="41"/>
      <c r="L75" s="41"/>
      <c r="M75" s="47"/>
    </row>
    <row r="76" spans="2:13" ht="90" customHeight="1" x14ac:dyDescent="0.3">
      <c r="B76" s="14">
        <f>B71</f>
        <v>31</v>
      </c>
      <c r="C76" s="15" t="s">
        <v>90</v>
      </c>
      <c r="D76" s="40"/>
      <c r="E76" s="46"/>
      <c r="F76" s="46"/>
      <c r="G76" s="46"/>
      <c r="H76" s="46"/>
      <c r="I76" s="46"/>
      <c r="J76" s="46"/>
      <c r="K76" s="40"/>
      <c r="L76" s="40"/>
      <c r="M76" s="46"/>
    </row>
    <row r="77" spans="2:13" ht="90" customHeight="1" thickBot="1" x14ac:dyDescent="0.35">
      <c r="B77" s="14">
        <f>B71</f>
        <v>31</v>
      </c>
      <c r="C77" s="17" t="s">
        <v>90</v>
      </c>
      <c r="D77" s="42"/>
      <c r="E77" s="48"/>
      <c r="F77" s="48"/>
      <c r="G77" s="48"/>
      <c r="H77" s="48"/>
      <c r="I77" s="48"/>
      <c r="J77" s="48"/>
      <c r="K77" s="42"/>
      <c r="L77" s="42"/>
      <c r="M77" s="48"/>
    </row>
    <row r="78" spans="2:13" ht="90" customHeight="1" thickTop="1" x14ac:dyDescent="0.3">
      <c r="B78" s="4">
        <v>32</v>
      </c>
      <c r="C78" s="18" t="s">
        <v>78</v>
      </c>
      <c r="D78" s="51"/>
      <c r="E78" s="57"/>
      <c r="F78" s="57"/>
      <c r="G78" s="57"/>
      <c r="H78" s="57"/>
      <c r="I78" s="57"/>
      <c r="J78" s="57"/>
      <c r="K78" s="43"/>
      <c r="L78" s="43"/>
      <c r="M78" s="57"/>
    </row>
    <row r="79" spans="2:13" ht="90" customHeight="1" x14ac:dyDescent="0.3">
      <c r="B79" s="19">
        <f>B78</f>
        <v>32</v>
      </c>
      <c r="C79" s="16" t="s">
        <v>87</v>
      </c>
      <c r="D79" s="41"/>
      <c r="E79" s="47"/>
      <c r="F79" s="47"/>
      <c r="G79" s="47"/>
      <c r="H79" s="47"/>
      <c r="I79" s="47"/>
      <c r="J79" s="47"/>
      <c r="K79" s="41"/>
      <c r="L79" s="41"/>
      <c r="M79" s="47"/>
    </row>
    <row r="80" spans="2:13" ht="90" customHeight="1" x14ac:dyDescent="0.3">
      <c r="B80" s="19">
        <f>B78</f>
        <v>32</v>
      </c>
      <c r="C80" s="15" t="s">
        <v>88</v>
      </c>
      <c r="D80" s="40"/>
      <c r="E80" s="46"/>
      <c r="F80" s="46"/>
      <c r="G80" s="46"/>
      <c r="H80" s="46"/>
      <c r="I80" s="58"/>
      <c r="J80" s="46"/>
      <c r="K80" s="40"/>
      <c r="L80" s="40"/>
      <c r="M80" s="46"/>
    </row>
    <row r="81" spans="2:13" ht="90" customHeight="1" x14ac:dyDescent="0.3">
      <c r="B81" s="19">
        <f>B78</f>
        <v>32</v>
      </c>
      <c r="C81" s="16" t="s">
        <v>87</v>
      </c>
      <c r="D81" s="41"/>
      <c r="E81" s="47"/>
      <c r="F81" s="47"/>
      <c r="G81" s="47"/>
      <c r="H81" s="47"/>
      <c r="I81" s="47"/>
      <c r="J81" s="47"/>
      <c r="K81" s="41"/>
      <c r="L81" s="41"/>
      <c r="M81" s="47"/>
    </row>
    <row r="82" spans="2:13" ht="90" customHeight="1" x14ac:dyDescent="0.3">
      <c r="B82" s="19">
        <f>B78</f>
        <v>32</v>
      </c>
      <c r="C82" s="15" t="s">
        <v>89</v>
      </c>
      <c r="D82" s="40"/>
      <c r="E82" s="46"/>
      <c r="F82" s="46"/>
      <c r="G82" s="46"/>
      <c r="H82" s="46"/>
      <c r="I82" s="46"/>
      <c r="J82" s="46"/>
      <c r="K82" s="40"/>
      <c r="L82" s="40"/>
      <c r="M82" s="46"/>
    </row>
    <row r="83" spans="2:13" ht="90" customHeight="1" x14ac:dyDescent="0.3">
      <c r="B83" s="19">
        <f>B78</f>
        <v>32</v>
      </c>
      <c r="C83" s="16" t="s">
        <v>90</v>
      </c>
      <c r="D83" s="41"/>
      <c r="E83" s="47"/>
      <c r="F83" s="47"/>
      <c r="G83" s="47"/>
      <c r="H83" s="47"/>
      <c r="I83" s="47"/>
      <c r="J83" s="47"/>
      <c r="K83" s="41"/>
      <c r="L83" s="41"/>
      <c r="M83" s="47"/>
    </row>
    <row r="84" spans="2:13" ht="90" customHeight="1" thickBot="1" x14ac:dyDescent="0.35">
      <c r="B84" s="19">
        <f>B78</f>
        <v>32</v>
      </c>
      <c r="C84" s="20" t="s">
        <v>90</v>
      </c>
      <c r="D84" s="44"/>
      <c r="E84" s="49"/>
      <c r="F84" s="49"/>
      <c r="G84" s="49"/>
      <c r="H84" s="49"/>
      <c r="I84" s="49"/>
      <c r="J84" s="49"/>
      <c r="K84" s="44"/>
      <c r="L84" s="44"/>
      <c r="M84" s="49"/>
    </row>
    <row r="85" spans="2:13" ht="90" customHeight="1" thickTop="1" x14ac:dyDescent="0.3">
      <c r="B85" s="3">
        <v>33</v>
      </c>
      <c r="C85" s="21" t="s">
        <v>78</v>
      </c>
      <c r="D85" s="52"/>
      <c r="E85" s="56"/>
      <c r="F85" s="56"/>
      <c r="G85" s="56"/>
      <c r="H85" s="56"/>
      <c r="I85" s="56"/>
      <c r="J85" s="56"/>
      <c r="K85" s="45"/>
      <c r="L85" s="45"/>
      <c r="M85" s="56"/>
    </row>
    <row r="86" spans="2:13" ht="90" customHeight="1" x14ac:dyDescent="0.3">
      <c r="B86" s="14">
        <f>B85</f>
        <v>33</v>
      </c>
      <c r="C86" s="15" t="s">
        <v>87</v>
      </c>
      <c r="D86" s="40"/>
      <c r="E86" s="46"/>
      <c r="F86" s="46"/>
      <c r="G86" s="46"/>
      <c r="H86" s="46"/>
      <c r="I86" s="46"/>
      <c r="J86" s="46"/>
      <c r="K86" s="40"/>
      <c r="L86" s="40"/>
      <c r="M86" s="46"/>
    </row>
    <row r="87" spans="2:13" ht="90" customHeight="1" x14ac:dyDescent="0.3">
      <c r="B87" s="14">
        <f>B85</f>
        <v>33</v>
      </c>
      <c r="C87" s="16" t="s">
        <v>88</v>
      </c>
      <c r="D87" s="41"/>
      <c r="E87" s="47"/>
      <c r="F87" s="47"/>
      <c r="G87" s="47"/>
      <c r="H87" s="47"/>
      <c r="I87" s="54"/>
      <c r="J87" s="47"/>
      <c r="K87" s="41"/>
      <c r="L87" s="41"/>
      <c r="M87" s="47"/>
    </row>
    <row r="88" spans="2:13" ht="90" customHeight="1" x14ac:dyDescent="0.3">
      <c r="B88" s="14">
        <f>B85</f>
        <v>33</v>
      </c>
      <c r="C88" s="15" t="s">
        <v>87</v>
      </c>
      <c r="D88" s="40"/>
      <c r="E88" s="46"/>
      <c r="F88" s="46"/>
      <c r="G88" s="46"/>
      <c r="H88" s="46"/>
      <c r="I88" s="46"/>
      <c r="J88" s="46"/>
      <c r="K88" s="40"/>
      <c r="L88" s="40"/>
      <c r="M88" s="46"/>
    </row>
    <row r="89" spans="2:13" ht="90" customHeight="1" x14ac:dyDescent="0.3">
      <c r="B89" s="14">
        <f>B85</f>
        <v>33</v>
      </c>
      <c r="C89" s="16" t="s">
        <v>89</v>
      </c>
      <c r="D89" s="41"/>
      <c r="E89" s="47"/>
      <c r="F89" s="47"/>
      <c r="G89" s="47"/>
      <c r="H89" s="47"/>
      <c r="I89" s="47"/>
      <c r="J89" s="47"/>
      <c r="K89" s="41"/>
      <c r="L89" s="41"/>
      <c r="M89" s="47"/>
    </row>
    <row r="90" spans="2:13" ht="90" customHeight="1" x14ac:dyDescent="0.3">
      <c r="B90" s="14">
        <f>B85</f>
        <v>33</v>
      </c>
      <c r="C90" s="15" t="s">
        <v>90</v>
      </c>
      <c r="D90" s="40"/>
      <c r="E90" s="46"/>
      <c r="F90" s="46"/>
      <c r="G90" s="46"/>
      <c r="H90" s="46"/>
      <c r="I90" s="46"/>
      <c r="J90" s="46"/>
      <c r="K90" s="40"/>
      <c r="L90" s="40"/>
      <c r="M90" s="46"/>
    </row>
    <row r="91" spans="2:13" ht="90" customHeight="1" thickBot="1" x14ac:dyDescent="0.35">
      <c r="B91" s="14">
        <f>B85</f>
        <v>33</v>
      </c>
      <c r="C91" s="17" t="s">
        <v>90</v>
      </c>
      <c r="D91" s="42"/>
      <c r="E91" s="48"/>
      <c r="F91" s="48"/>
      <c r="G91" s="48"/>
      <c r="H91" s="48"/>
      <c r="I91" s="48"/>
      <c r="J91" s="48"/>
      <c r="K91" s="42"/>
      <c r="L91" s="42"/>
      <c r="M91" s="48"/>
    </row>
    <row r="92" spans="2:13" ht="90" customHeight="1" thickTop="1" x14ac:dyDescent="0.3">
      <c r="B92" s="4">
        <v>34</v>
      </c>
      <c r="C92" s="18" t="s">
        <v>78</v>
      </c>
      <c r="D92" s="51"/>
      <c r="E92" s="57"/>
      <c r="F92" s="57"/>
      <c r="G92" s="57"/>
      <c r="H92" s="57"/>
      <c r="I92" s="57"/>
      <c r="J92" s="57"/>
      <c r="K92" s="43"/>
      <c r="L92" s="43"/>
      <c r="M92" s="57"/>
    </row>
    <row r="93" spans="2:13" ht="90" customHeight="1" x14ac:dyDescent="0.3">
      <c r="B93" s="19">
        <f>B92</f>
        <v>34</v>
      </c>
      <c r="C93" s="16" t="s">
        <v>87</v>
      </c>
      <c r="D93" s="41"/>
      <c r="E93" s="47"/>
      <c r="F93" s="47"/>
      <c r="G93" s="47"/>
      <c r="H93" s="47"/>
      <c r="I93" s="47"/>
      <c r="J93" s="47"/>
      <c r="K93" s="41"/>
      <c r="L93" s="41"/>
      <c r="M93" s="47"/>
    </row>
    <row r="94" spans="2:13" ht="90" customHeight="1" x14ac:dyDescent="0.3">
      <c r="B94" s="19">
        <f>B92</f>
        <v>34</v>
      </c>
      <c r="C94" s="15" t="s">
        <v>88</v>
      </c>
      <c r="D94" s="40"/>
      <c r="E94" s="46"/>
      <c r="F94" s="46"/>
      <c r="G94" s="46"/>
      <c r="H94" s="46"/>
      <c r="I94" s="58"/>
      <c r="J94" s="46"/>
      <c r="K94" s="40"/>
      <c r="L94" s="40"/>
      <c r="M94" s="46"/>
    </row>
    <row r="95" spans="2:13" ht="90" customHeight="1" x14ac:dyDescent="0.3">
      <c r="B95" s="19">
        <f>B92</f>
        <v>34</v>
      </c>
      <c r="C95" s="16" t="s">
        <v>87</v>
      </c>
      <c r="D95" s="41"/>
      <c r="E95" s="47"/>
      <c r="F95" s="47"/>
      <c r="G95" s="47"/>
      <c r="H95" s="47"/>
      <c r="I95" s="47"/>
      <c r="J95" s="47"/>
      <c r="K95" s="41"/>
      <c r="L95" s="41"/>
      <c r="M95" s="47"/>
    </row>
    <row r="96" spans="2:13" ht="90" customHeight="1" x14ac:dyDescent="0.3">
      <c r="B96" s="19">
        <f>B92</f>
        <v>34</v>
      </c>
      <c r="C96" s="15" t="s">
        <v>89</v>
      </c>
      <c r="D96" s="40"/>
      <c r="E96" s="46"/>
      <c r="F96" s="46"/>
      <c r="G96" s="46"/>
      <c r="H96" s="46"/>
      <c r="I96" s="46"/>
      <c r="J96" s="46"/>
      <c r="K96" s="40"/>
      <c r="L96" s="40"/>
      <c r="M96" s="46"/>
    </row>
    <row r="97" spans="2:13" ht="90" customHeight="1" x14ac:dyDescent="0.3">
      <c r="B97" s="19">
        <f>B92</f>
        <v>34</v>
      </c>
      <c r="C97" s="16" t="s">
        <v>90</v>
      </c>
      <c r="D97" s="41"/>
      <c r="E97" s="47"/>
      <c r="F97" s="47"/>
      <c r="G97" s="47"/>
      <c r="H97" s="47"/>
      <c r="I97" s="47"/>
      <c r="J97" s="47"/>
      <c r="K97" s="41"/>
      <c r="L97" s="41"/>
      <c r="M97" s="47"/>
    </row>
    <row r="98" spans="2:13" ht="90" customHeight="1" thickBot="1" x14ac:dyDescent="0.35">
      <c r="B98" s="19">
        <f>B92</f>
        <v>34</v>
      </c>
      <c r="C98" s="20" t="s">
        <v>90</v>
      </c>
      <c r="D98" s="44"/>
      <c r="E98" s="49"/>
      <c r="F98" s="49"/>
      <c r="G98" s="49"/>
      <c r="H98" s="49"/>
      <c r="I98" s="49"/>
      <c r="J98" s="49"/>
      <c r="K98" s="44"/>
      <c r="L98" s="44"/>
      <c r="M98" s="49"/>
    </row>
    <row r="99" spans="2:13" ht="90" customHeight="1" thickTop="1" x14ac:dyDescent="0.3">
      <c r="B99" s="3">
        <v>35</v>
      </c>
      <c r="C99" s="21" t="s">
        <v>78</v>
      </c>
      <c r="D99" s="52"/>
      <c r="E99" s="56"/>
      <c r="F99" s="56"/>
      <c r="G99" s="56"/>
      <c r="H99" s="56"/>
      <c r="I99" s="56"/>
      <c r="J99" s="56"/>
      <c r="K99" s="45"/>
      <c r="L99" s="45"/>
      <c r="M99" s="56"/>
    </row>
    <row r="100" spans="2:13" ht="90" customHeight="1" x14ac:dyDescent="0.3">
      <c r="B100" s="14">
        <f>B99</f>
        <v>35</v>
      </c>
      <c r="C100" s="15" t="s">
        <v>87</v>
      </c>
      <c r="D100" s="40"/>
      <c r="E100" s="46"/>
      <c r="F100" s="46"/>
      <c r="G100" s="46"/>
      <c r="H100" s="46"/>
      <c r="I100" s="46"/>
      <c r="J100" s="46"/>
      <c r="K100" s="40"/>
      <c r="L100" s="40"/>
      <c r="M100" s="46"/>
    </row>
    <row r="101" spans="2:13" ht="90" customHeight="1" x14ac:dyDescent="0.3">
      <c r="B101" s="14">
        <f>B99</f>
        <v>35</v>
      </c>
      <c r="C101" s="16" t="s">
        <v>88</v>
      </c>
      <c r="D101" s="41"/>
      <c r="E101" s="47"/>
      <c r="F101" s="47"/>
      <c r="G101" s="47"/>
      <c r="H101" s="47"/>
      <c r="I101" s="54"/>
      <c r="J101" s="47"/>
      <c r="K101" s="41"/>
      <c r="L101" s="41"/>
      <c r="M101" s="47"/>
    </row>
    <row r="102" spans="2:13" ht="90" customHeight="1" x14ac:dyDescent="0.3">
      <c r="B102" s="14">
        <f>B99</f>
        <v>35</v>
      </c>
      <c r="C102" s="15" t="s">
        <v>87</v>
      </c>
      <c r="D102" s="40"/>
      <c r="E102" s="46"/>
      <c r="F102" s="46"/>
      <c r="G102" s="46"/>
      <c r="H102" s="46"/>
      <c r="I102" s="46"/>
      <c r="J102" s="46"/>
      <c r="K102" s="40"/>
      <c r="L102" s="40"/>
      <c r="M102" s="46"/>
    </row>
    <row r="103" spans="2:13" ht="90" customHeight="1" x14ac:dyDescent="0.3">
      <c r="B103" s="14">
        <f>B99</f>
        <v>35</v>
      </c>
      <c r="C103" s="16" t="s">
        <v>89</v>
      </c>
      <c r="D103" s="41"/>
      <c r="E103" s="47"/>
      <c r="F103" s="47"/>
      <c r="G103" s="47"/>
      <c r="H103" s="47"/>
      <c r="I103" s="47"/>
      <c r="J103" s="47"/>
      <c r="K103" s="41"/>
      <c r="L103" s="41"/>
      <c r="M103" s="47"/>
    </row>
    <row r="104" spans="2:13" ht="90" customHeight="1" x14ac:dyDescent="0.3">
      <c r="B104" s="14">
        <f>B99</f>
        <v>35</v>
      </c>
      <c r="C104" s="15" t="s">
        <v>90</v>
      </c>
      <c r="D104" s="40"/>
      <c r="E104" s="46"/>
      <c r="F104" s="46"/>
      <c r="G104" s="46"/>
      <c r="H104" s="46"/>
      <c r="I104" s="46"/>
      <c r="J104" s="46"/>
      <c r="K104" s="40"/>
      <c r="L104" s="40"/>
      <c r="M104" s="46"/>
    </row>
    <row r="105" spans="2:13" ht="90" customHeight="1" thickBot="1" x14ac:dyDescent="0.35">
      <c r="B105" s="22">
        <f>B99</f>
        <v>35</v>
      </c>
      <c r="C105" s="17" t="s">
        <v>90</v>
      </c>
      <c r="D105" s="42"/>
      <c r="E105" s="48"/>
      <c r="F105" s="48"/>
      <c r="G105" s="48"/>
      <c r="H105" s="48"/>
      <c r="I105" s="48"/>
      <c r="J105" s="48"/>
      <c r="K105" s="42"/>
      <c r="L105" s="42"/>
      <c r="M105" s="48"/>
    </row>
    <row r="106" spans="2:13" ht="15" thickTop="1" x14ac:dyDescent="0.3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</sheetData>
  <sheetProtection autoFilter="0"/>
  <autoFilter ref="B14:M10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105">
    <cfRule type="expression" dxfId="3" priority="1">
      <formula>AND(ROW()&gt;=15,MOD(ROW()-15,2)=1)</formula>
    </cfRule>
    <cfRule type="expression" dxfId="2" priority="2">
      <formula>AND(ROW()&gt;=15,MOD(ROW()-15,2)=0)</formula>
    </cfRule>
  </conditionalFormatting>
  <dataValidations count="9">
    <dataValidation type="list" allowBlank="1" showInputMessage="1" showErrorMessage="1" sqref="G8" xr:uid="{8F302404-3C4F-4331-8448-CCE5A7A11D2F}">
      <formula1>"Selecteer,2025/2026,2026/2027,2027/2028,2028/2029,2029/2030,2030/2031,2031/2032,2032/2033,2033/2034,2034/2035"</formula1>
    </dataValidation>
    <dataValidation type="list" allowBlank="1" showInputMessage="1" showErrorMessage="1" sqref="L7 K6" xr:uid="{432DD736-1D24-4235-971D-24A4177B5C06}">
      <formula1>"Selecteer,BOL,BBL"</formula1>
    </dataValidation>
    <dataValidation type="list" allowBlank="1" showInputMessage="1" showErrorMessage="1" sqref="J7 I6" xr:uid="{00D6ED34-82F3-4CC8-A41D-C9F8B6A1F0F0}">
      <formula1>"Selecteer,Leerjaar 1,Leerjaar 2,Leerjaar 3,Leerjaar 4"</formula1>
    </dataValidation>
    <dataValidation type="list" allowBlank="1" showInputMessage="1" showErrorMessage="1" sqref="H7 G6" xr:uid="{E6EADB40-C4C7-429B-9C1F-8A8C037DC803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I2" xr:uid="{39CAEC65-3802-46FA-8755-7F9685368F80}">
      <formula1>"Selecteer,Jaar 1,Jaar 2,Jaar 3,Jaar 4"</formula1>
    </dataValidation>
    <dataValidation type="list" allowBlank="1" showInputMessage="1" showErrorMessage="1" sqref="E8" xr:uid="{C026B2DD-E8A4-40F2-B4AA-77ED82C0A65E}">
      <formula1>"Selecteer,1280 uur,960 uur"</formula1>
    </dataValidation>
    <dataValidation type="list" allowBlank="1" showInputMessage="1" showErrorMessage="1" sqref="L8" xr:uid="{8178A905-74DC-4243-9BFA-F0950E1CB677}">
      <formula1>"BOL,BBL"</formula1>
    </dataValidation>
    <dataValidation type="list" allowBlank="1" showInputMessage="1" showErrorMessage="1" sqref="J8" xr:uid="{9E30EC5D-3EBC-4765-8C39-F0A25F559D14}">
      <formula1>"Leerjaar 1,Leerjaar 2,Leerjaar 3,Leerjaar 4"</formula1>
    </dataValidation>
    <dataValidation type="list" allowBlank="1" showInputMessage="1" showErrorMessage="1" sqref="H8" xr:uid="{CB005727-600A-4610-A2D5-D98585A0F104}">
      <formula1>"Kok,Zelfstandig werkend Kok,Gespecialiseerd Kok,Leidinggevende Keuken,Gastheer-/Vrouw,Zelfstandig werkend Gastheer-/Vrouw,Leidinggevende Bediening,Meewerkend Horeca Ondernemer,Manager Ondernemer Horeca"</formula1>
    </dataValidation>
  </dataValidations>
  <pageMargins left="0.25" right="0.25" top="0.75" bottom="0.75" header="0.3" footer="0.3"/>
  <pageSetup paperSize="9" scale="59" fitToHeight="0" orientation="landscape" r:id="rId1"/>
  <rowBreaks count="12" manualBreakCount="12">
    <brk id="21" min="1" max="12" man="1"/>
    <brk id="28" max="16383" man="1"/>
    <brk id="35" max="16383" man="1"/>
    <brk id="42" max="16383" man="1"/>
    <brk id="49" max="16383" man="1"/>
    <brk id="56" max="16383" man="1"/>
    <brk id="63" max="16383" man="1"/>
    <brk id="70" max="16383" man="1"/>
    <brk id="77" max="16383" man="1"/>
    <brk id="84" max="16383" man="1"/>
    <brk id="91" max="16383" man="1"/>
    <brk id="98" max="16383" man="1"/>
  </rowBreaks>
  <ignoredErrors>
    <ignoredError sqref="E2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2B84-87CC-43AB-B09F-22CCA9BBF347}">
  <sheetPr>
    <tabColor theme="9"/>
    <pageSetUpPr fitToPage="1"/>
  </sheetPr>
  <dimension ref="B1:M36"/>
  <sheetViews>
    <sheetView showGridLines="0" zoomScaleNormal="100" workbookViewId="0">
      <pane xSplit="5" ySplit="14" topLeftCell="F15" activePane="bottomRight" state="frozen"/>
      <selection pane="topRight" activeCell="E1" sqref="E1"/>
      <selection pane="bottomLeft" activeCell="A14" sqref="A14"/>
      <selection pane="bottomRight" activeCell="B12" sqref="B12:G12"/>
    </sheetView>
  </sheetViews>
  <sheetFormatPr defaultRowHeight="14.4" x14ac:dyDescent="0.3"/>
  <cols>
    <col min="1" max="1" width="1" customWidth="1"/>
    <col min="2" max="2" width="11" bestFit="1" customWidth="1"/>
    <col min="3" max="3" width="10.5546875" customWidth="1"/>
    <col min="4" max="4" width="10.6640625" customWidth="1"/>
    <col min="5" max="10" width="25.6640625" customWidth="1"/>
    <col min="11" max="11" width="15.6640625" customWidth="1"/>
    <col min="12" max="12" width="13.5546875" customWidth="1"/>
    <col min="13" max="13" width="25.6640625" customWidth="1"/>
  </cols>
  <sheetData>
    <row r="1" spans="2:13" ht="4.95" customHeight="1" x14ac:dyDescent="0.3"/>
    <row r="2" spans="2:13" ht="18" x14ac:dyDescent="0.35">
      <c r="B2" s="107" t="e" vm="1">
        <v>#VALUE!</v>
      </c>
      <c r="C2" s="108" t="s">
        <v>52</v>
      </c>
      <c r="D2" s="108"/>
      <c r="E2" s="102" t="s">
        <v>53</v>
      </c>
      <c r="F2" s="103"/>
      <c r="G2" s="104"/>
      <c r="H2" s="6" t="s">
        <v>54</v>
      </c>
      <c r="I2" s="1" t="s">
        <v>55</v>
      </c>
    </row>
    <row r="3" spans="2:13" ht="4.95" customHeight="1" x14ac:dyDescent="0.35">
      <c r="B3" s="107"/>
      <c r="C3" s="5"/>
      <c r="D3" s="5"/>
    </row>
    <row r="4" spans="2:13" x14ac:dyDescent="0.3">
      <c r="B4" s="107"/>
      <c r="C4" s="101" t="s">
        <v>56</v>
      </c>
      <c r="D4" s="101"/>
      <c r="E4" s="99" t="s">
        <v>57</v>
      </c>
      <c r="F4" s="100"/>
      <c r="G4" s="25"/>
    </row>
    <row r="5" spans="2:13" ht="4.95" customHeight="1" x14ac:dyDescent="0.3">
      <c r="B5" s="79"/>
    </row>
    <row r="6" spans="2:13" x14ac:dyDescent="0.3">
      <c r="B6" s="79"/>
      <c r="C6" s="101" t="s">
        <v>58</v>
      </c>
      <c r="D6" s="101"/>
      <c r="E6" s="2" t="s">
        <v>59</v>
      </c>
      <c r="F6" s="7" t="s">
        <v>60</v>
      </c>
      <c r="G6" s="2" t="s">
        <v>55</v>
      </c>
      <c r="H6" s="7" t="s">
        <v>61</v>
      </c>
      <c r="I6" s="2" t="s">
        <v>55</v>
      </c>
      <c r="J6" s="7" t="s">
        <v>62</v>
      </c>
      <c r="K6" s="2" t="s">
        <v>55</v>
      </c>
    </row>
    <row r="7" spans="2:13" ht="4.95" customHeight="1" x14ac:dyDescent="0.3">
      <c r="C7" s="7"/>
      <c r="D7" s="7"/>
      <c r="E7" s="8"/>
      <c r="F7" s="7"/>
      <c r="G7" s="7"/>
      <c r="I7" s="7"/>
      <c r="K7" s="7"/>
    </row>
    <row r="8" spans="2:13" x14ac:dyDescent="0.3">
      <c r="C8" s="101" t="s">
        <v>63</v>
      </c>
      <c r="D8" s="101"/>
      <c r="E8" s="2" t="s">
        <v>55</v>
      </c>
      <c r="F8" s="7" t="s">
        <v>64</v>
      </c>
      <c r="G8" s="26" t="s">
        <v>55</v>
      </c>
      <c r="I8" s="7"/>
      <c r="K8" s="7"/>
    </row>
    <row r="9" spans="2:13" ht="4.95" customHeight="1" x14ac:dyDescent="0.3"/>
    <row r="10" spans="2:13" ht="18" x14ac:dyDescent="0.35">
      <c r="B10" s="106" t="s">
        <v>93</v>
      </c>
      <c r="C10" s="106"/>
      <c r="D10" s="106"/>
      <c r="E10" s="9"/>
    </row>
    <row r="11" spans="2:13" ht="4.95" customHeight="1" x14ac:dyDescent="0.3"/>
    <row r="12" spans="2:13" x14ac:dyDescent="0.3">
      <c r="B12" s="105" t="s">
        <v>95</v>
      </c>
      <c r="C12" s="103"/>
      <c r="D12" s="103"/>
      <c r="E12" s="103"/>
      <c r="F12" s="103"/>
      <c r="G12" s="104"/>
      <c r="H12" s="24"/>
    </row>
    <row r="13" spans="2:13" ht="4.95" customHeight="1" thickBot="1" x14ac:dyDescent="0.35"/>
    <row r="14" spans="2:13" ht="15.6" thickTop="1" thickBot="1" x14ac:dyDescent="0.35">
      <c r="B14" s="73" t="s">
        <v>66</v>
      </c>
      <c r="C14" s="11" t="s">
        <v>94</v>
      </c>
      <c r="D14" s="11" t="s">
        <v>68</v>
      </c>
      <c r="E14" s="11" t="s">
        <v>69</v>
      </c>
      <c r="F14" s="11" t="s">
        <v>70</v>
      </c>
      <c r="G14" s="11" t="s">
        <v>71</v>
      </c>
      <c r="H14" s="11" t="s">
        <v>72</v>
      </c>
      <c r="I14" s="11" t="s">
        <v>73</v>
      </c>
      <c r="J14" s="11" t="s">
        <v>74</v>
      </c>
      <c r="K14" s="11" t="s">
        <v>75</v>
      </c>
      <c r="L14" s="11" t="s">
        <v>76</v>
      </c>
      <c r="M14" s="12" t="s">
        <v>77</v>
      </c>
    </row>
    <row r="15" spans="2:13" ht="90" customHeight="1" thickTop="1" thickBot="1" x14ac:dyDescent="0.35">
      <c r="B15" s="74">
        <v>23</v>
      </c>
      <c r="C15" s="13"/>
      <c r="D15" s="50"/>
      <c r="E15" s="53"/>
      <c r="F15" s="53"/>
      <c r="G15" s="53"/>
      <c r="H15" s="53"/>
      <c r="I15" s="53"/>
      <c r="J15" s="53"/>
      <c r="K15" s="39"/>
      <c r="L15" s="39"/>
      <c r="M15" s="65"/>
    </row>
    <row r="16" spans="2:13" ht="90" customHeight="1" thickTop="1" thickBot="1" x14ac:dyDescent="0.35">
      <c r="B16" s="77">
        <v>24</v>
      </c>
      <c r="C16" s="15"/>
      <c r="D16" s="40"/>
      <c r="E16" s="46"/>
      <c r="F16" s="46"/>
      <c r="G16" s="46"/>
      <c r="H16" s="46"/>
      <c r="I16" s="46"/>
      <c r="J16" s="46"/>
      <c r="K16" s="40"/>
      <c r="L16" s="40"/>
      <c r="M16" s="66"/>
    </row>
    <row r="17" spans="2:13" ht="90" customHeight="1" thickTop="1" thickBot="1" x14ac:dyDescent="0.35">
      <c r="B17" s="75">
        <v>25</v>
      </c>
      <c r="C17" s="16"/>
      <c r="D17" s="41"/>
      <c r="E17" s="53"/>
      <c r="F17" s="47"/>
      <c r="G17" s="47"/>
      <c r="H17" s="47"/>
      <c r="I17" s="54"/>
      <c r="J17" s="47"/>
      <c r="K17" s="41"/>
      <c r="L17" s="41"/>
      <c r="M17" s="67"/>
    </row>
    <row r="18" spans="2:13" ht="90" customHeight="1" thickTop="1" thickBot="1" x14ac:dyDescent="0.35">
      <c r="B18" s="77">
        <v>26</v>
      </c>
      <c r="C18" s="15"/>
      <c r="D18" s="40"/>
      <c r="E18" s="53"/>
      <c r="F18" s="46"/>
      <c r="G18" s="46"/>
      <c r="H18" s="46"/>
      <c r="I18" s="46"/>
      <c r="J18" s="46"/>
      <c r="K18" s="40"/>
      <c r="L18" s="40"/>
      <c r="M18" s="66"/>
    </row>
    <row r="19" spans="2:13" ht="90" customHeight="1" thickTop="1" thickBot="1" x14ac:dyDescent="0.35">
      <c r="B19" s="75">
        <v>27</v>
      </c>
      <c r="C19" s="16"/>
      <c r="D19" s="78"/>
      <c r="E19" s="46"/>
      <c r="F19" s="47"/>
      <c r="G19" s="47"/>
      <c r="H19" s="47"/>
      <c r="I19" s="47"/>
      <c r="J19" s="47"/>
      <c r="K19" s="41"/>
      <c r="L19" s="41"/>
      <c r="M19" s="67"/>
    </row>
    <row r="20" spans="2:13" ht="90" customHeight="1" thickTop="1" thickBot="1" x14ac:dyDescent="0.35">
      <c r="B20" s="77">
        <v>28</v>
      </c>
      <c r="C20" s="15"/>
      <c r="D20" s="40"/>
      <c r="E20" s="53"/>
      <c r="F20" s="46"/>
      <c r="G20" s="46"/>
      <c r="H20" s="46"/>
      <c r="I20" s="46"/>
      <c r="J20" s="46"/>
      <c r="K20" s="40"/>
      <c r="L20" s="40"/>
      <c r="M20" s="66"/>
    </row>
    <row r="21" spans="2:13" ht="90" customHeight="1" thickTop="1" thickBot="1" x14ac:dyDescent="0.35">
      <c r="B21" s="59">
        <v>29</v>
      </c>
      <c r="C21" s="17"/>
      <c r="D21" s="42"/>
      <c r="E21" s="55"/>
      <c r="F21" s="48"/>
      <c r="G21" s="48"/>
      <c r="H21" s="48"/>
      <c r="I21" s="48"/>
      <c r="J21" s="48"/>
      <c r="K21" s="42"/>
      <c r="L21" s="42"/>
      <c r="M21" s="68"/>
    </row>
    <row r="22" spans="2:13" ht="90" customHeight="1" thickTop="1" thickBot="1" x14ac:dyDescent="0.35">
      <c r="B22" s="76">
        <v>30</v>
      </c>
      <c r="C22" s="18"/>
      <c r="D22" s="51"/>
      <c r="E22" s="56"/>
      <c r="F22" s="57"/>
      <c r="G22" s="57"/>
      <c r="H22" s="57"/>
      <c r="I22" s="57"/>
      <c r="J22" s="57"/>
      <c r="K22" s="43"/>
      <c r="L22" s="43"/>
      <c r="M22" s="69"/>
    </row>
    <row r="23" spans="2:13" ht="90" customHeight="1" thickTop="1" thickBot="1" x14ac:dyDescent="0.35">
      <c r="B23" s="75">
        <v>31</v>
      </c>
      <c r="C23" s="16"/>
      <c r="D23" s="41"/>
      <c r="E23" s="46"/>
      <c r="F23" s="47"/>
      <c r="G23" s="47"/>
      <c r="H23" s="47"/>
      <c r="I23" s="47"/>
      <c r="J23" s="47"/>
      <c r="K23" s="41"/>
      <c r="L23" s="41"/>
      <c r="M23" s="67"/>
    </row>
    <row r="24" spans="2:13" ht="90" customHeight="1" thickTop="1" thickBot="1" x14ac:dyDescent="0.35">
      <c r="B24" s="77">
        <v>32</v>
      </c>
      <c r="C24" s="15"/>
      <c r="D24" s="40"/>
      <c r="E24" s="53"/>
      <c r="F24" s="46"/>
      <c r="G24" s="46"/>
      <c r="H24" s="46"/>
      <c r="I24" s="58"/>
      <c r="J24" s="46"/>
      <c r="K24" s="40"/>
      <c r="L24" s="40"/>
      <c r="M24" s="66"/>
    </row>
    <row r="25" spans="2:13" ht="90" customHeight="1" thickTop="1" thickBot="1" x14ac:dyDescent="0.35">
      <c r="B25" s="75">
        <v>33</v>
      </c>
      <c r="C25" s="16"/>
      <c r="D25" s="41"/>
      <c r="E25" s="46"/>
      <c r="F25" s="47"/>
      <c r="G25" s="47"/>
      <c r="H25" s="47"/>
      <c r="I25" s="47"/>
      <c r="J25" s="47"/>
      <c r="K25" s="41"/>
      <c r="L25" s="41"/>
      <c r="M25" s="67"/>
    </row>
    <row r="26" spans="2:13" ht="90" customHeight="1" thickTop="1" thickBot="1" x14ac:dyDescent="0.35">
      <c r="B26" s="77">
        <v>34</v>
      </c>
      <c r="C26" s="15"/>
      <c r="D26" s="40"/>
      <c r="E26" s="53"/>
      <c r="F26" s="46"/>
      <c r="G26" s="46"/>
      <c r="H26" s="46"/>
      <c r="I26" s="46"/>
      <c r="J26" s="46"/>
      <c r="K26" s="40"/>
      <c r="L26" s="40"/>
      <c r="M26" s="66"/>
    </row>
    <row r="27" spans="2:13" ht="90" customHeight="1" thickTop="1" thickBot="1" x14ac:dyDescent="0.35">
      <c r="B27" s="75">
        <v>35</v>
      </c>
      <c r="C27" s="16"/>
      <c r="D27" s="41"/>
      <c r="E27" s="46"/>
      <c r="F27" s="47"/>
      <c r="G27" s="47"/>
      <c r="H27" s="47"/>
      <c r="I27" s="47"/>
      <c r="J27" s="47"/>
      <c r="K27" s="41"/>
      <c r="L27" s="41"/>
      <c r="M27" s="67"/>
    </row>
    <row r="28" spans="2:13" ht="90" customHeight="1" thickTop="1" thickBot="1" x14ac:dyDescent="0.35">
      <c r="B28" s="60"/>
      <c r="C28" s="20"/>
      <c r="D28" s="44"/>
      <c r="E28" s="55"/>
      <c r="F28" s="49"/>
      <c r="G28" s="49"/>
      <c r="H28" s="49"/>
      <c r="I28" s="49"/>
      <c r="J28" s="49"/>
      <c r="K28" s="44"/>
      <c r="L28" s="44"/>
      <c r="M28" s="70"/>
    </row>
    <row r="29" spans="2:13" ht="90" customHeight="1" thickTop="1" thickBot="1" x14ac:dyDescent="0.35">
      <c r="B29" s="74"/>
      <c r="C29" s="21"/>
      <c r="D29" s="52"/>
      <c r="E29" s="56"/>
      <c r="F29" s="56"/>
      <c r="G29" s="56"/>
      <c r="H29" s="56"/>
      <c r="I29" s="56"/>
      <c r="J29" s="56"/>
      <c r="K29" s="45"/>
      <c r="L29" s="45"/>
      <c r="M29" s="65"/>
    </row>
    <row r="30" spans="2:13" ht="90" customHeight="1" thickTop="1" thickBot="1" x14ac:dyDescent="0.35">
      <c r="B30" s="77"/>
      <c r="C30" s="15"/>
      <c r="D30" s="40"/>
      <c r="E30" s="46"/>
      <c r="F30" s="46"/>
      <c r="G30" s="46"/>
      <c r="H30" s="46"/>
      <c r="I30" s="46"/>
      <c r="J30" s="46"/>
      <c r="K30" s="40"/>
      <c r="L30" s="40"/>
      <c r="M30" s="66"/>
    </row>
    <row r="31" spans="2:13" ht="90" customHeight="1" thickTop="1" thickBot="1" x14ac:dyDescent="0.35">
      <c r="B31" s="75"/>
      <c r="C31" s="16"/>
      <c r="D31" s="41"/>
      <c r="E31" s="53"/>
      <c r="F31" s="47"/>
      <c r="G31" s="47"/>
      <c r="H31" s="47"/>
      <c r="I31" s="54"/>
      <c r="J31" s="47"/>
      <c r="K31" s="41"/>
      <c r="L31" s="41"/>
      <c r="M31" s="67"/>
    </row>
    <row r="32" spans="2:13" ht="90" customHeight="1" thickTop="1" thickBot="1" x14ac:dyDescent="0.35">
      <c r="B32" s="77"/>
      <c r="C32" s="15"/>
      <c r="D32" s="40"/>
      <c r="E32" s="46"/>
      <c r="F32" s="46"/>
      <c r="G32" s="46"/>
      <c r="H32" s="46"/>
      <c r="I32" s="46"/>
      <c r="J32" s="46"/>
      <c r="K32" s="40"/>
      <c r="L32" s="40"/>
      <c r="M32" s="66"/>
    </row>
    <row r="33" spans="2:13" ht="90" customHeight="1" thickTop="1" thickBot="1" x14ac:dyDescent="0.35">
      <c r="B33" s="75"/>
      <c r="C33" s="16"/>
      <c r="D33" s="41"/>
      <c r="E33" s="53"/>
      <c r="F33" s="47"/>
      <c r="G33" s="47"/>
      <c r="H33" s="47"/>
      <c r="I33" s="47"/>
      <c r="J33" s="47"/>
      <c r="K33" s="41"/>
      <c r="L33" s="41"/>
      <c r="M33" s="67"/>
    </row>
    <row r="34" spans="2:13" ht="90" customHeight="1" thickTop="1" thickBot="1" x14ac:dyDescent="0.35">
      <c r="B34" s="77"/>
      <c r="C34" s="15"/>
      <c r="D34" s="40"/>
      <c r="E34" s="46"/>
      <c r="F34" s="46"/>
      <c r="G34" s="46"/>
      <c r="H34" s="46"/>
      <c r="I34" s="46"/>
      <c r="J34" s="46"/>
      <c r="K34" s="40"/>
      <c r="L34" s="40"/>
      <c r="M34" s="66"/>
    </row>
    <row r="35" spans="2:13" ht="90" customHeight="1" thickTop="1" thickBot="1" x14ac:dyDescent="0.35">
      <c r="B35" s="61"/>
      <c r="C35" s="62"/>
      <c r="D35" s="63"/>
      <c r="E35" s="64"/>
      <c r="F35" s="64"/>
      <c r="G35" s="64"/>
      <c r="H35" s="64"/>
      <c r="I35" s="64"/>
      <c r="J35" s="64"/>
      <c r="K35" s="63"/>
      <c r="L35" s="63"/>
      <c r="M35" s="71"/>
    </row>
    <row r="36" spans="2:13" ht="15" thickTop="1" x14ac:dyDescent="0.3"/>
  </sheetData>
  <sheetProtection autoFilter="0"/>
  <autoFilter ref="B14:M35" xr:uid="{3AC6B2BD-4F05-40C8-9361-DB7315B6B459}"/>
  <mergeCells count="9">
    <mergeCell ref="C8:D8"/>
    <mergeCell ref="B10:D10"/>
    <mergeCell ref="B12:G12"/>
    <mergeCell ref="B2:B6"/>
    <mergeCell ref="C2:D2"/>
    <mergeCell ref="E2:G2"/>
    <mergeCell ref="C4:D4"/>
    <mergeCell ref="E4:F4"/>
    <mergeCell ref="C6:D6"/>
  </mergeCells>
  <conditionalFormatting sqref="C15:M35">
    <cfRule type="expression" dxfId="1" priority="1">
      <formula>AND(ROW()&gt;=15,MOD(ROW()-15,2)=1)</formula>
    </cfRule>
    <cfRule type="expression" dxfId="0" priority="2">
      <formula>AND(ROW()&gt;=15,MOD(ROW()-15,2)=0)</formula>
    </cfRule>
  </conditionalFormatting>
  <dataValidations count="9">
    <dataValidation type="list" allowBlank="1" showInputMessage="1" showErrorMessage="1" sqref="H8" xr:uid="{ED452B4D-C146-403F-9F72-3D13B9A2E60B}">
      <formula1>"Kok,Zelfstandig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8" xr:uid="{A77B4D45-257B-47AA-A736-E75AA0F7E5A9}">
      <formula1>"Leerjaar 1,Leerjaar 2,Leerjaar 3,Leerjaar 4"</formula1>
    </dataValidation>
    <dataValidation type="list" allowBlank="1" showInputMessage="1" showErrorMessage="1" sqref="L8" xr:uid="{7FAA9CD9-F6E1-4279-9232-74251EFB70EB}">
      <formula1>"BOL,BBL"</formula1>
    </dataValidation>
    <dataValidation type="list" allowBlank="1" showInputMessage="1" showErrorMessage="1" sqref="E8" xr:uid="{D856C39E-EAB1-4B71-BA21-41041D62168D}">
      <formula1>"Selecteer,1280 uur,960 uur"</formula1>
    </dataValidation>
    <dataValidation type="list" allowBlank="1" showInputMessage="1" showErrorMessage="1" sqref="I2" xr:uid="{3A935E16-128C-4966-82A8-F9CBF26D2CF0}">
      <formula1>"Selecteer,Jaar 1,Jaar 2,Jaar 3,Jaar 4"</formula1>
    </dataValidation>
    <dataValidation type="list" allowBlank="1" showInputMessage="1" showErrorMessage="1" sqref="H7 G6" xr:uid="{C6A12452-B6FA-41B7-9100-574BFA6C781D}">
      <formula1>"Selecteer,Kok,Zelfstandig werkend Kok,Gespecialiseerd Kok,Leidinggevende Keuken,Gastheer-/Vrouw,Zelfstandig werkend Gastheer-/Vrouw,Leidinggevende Bediening,Meewerkend Horeca Ondernemer,Manager Ondernemer Horeca"</formula1>
    </dataValidation>
    <dataValidation type="list" allowBlank="1" showInputMessage="1" showErrorMessage="1" sqref="J7 I6" xr:uid="{9ABE05DF-CEEC-4863-9CE2-83C5AA83EB6D}">
      <formula1>"Selecteer,Leerjaar 1,Leerjaar 2,Leerjaar 3,Leerjaar 4"</formula1>
    </dataValidation>
    <dataValidation type="list" allowBlank="1" showInputMessage="1" showErrorMessage="1" sqref="L7 K6" xr:uid="{C159CEED-1E67-41EE-A263-F4B07AF77E01}">
      <formula1>"Selecteer,BOL,BBL"</formula1>
    </dataValidation>
    <dataValidation type="list" allowBlank="1" showInputMessage="1" showErrorMessage="1" sqref="G8" xr:uid="{6402EF24-C63D-45D7-B82D-1080B4722822}">
      <formula1>"Selecteer,2025/2026,2026/2027,2027/2028,2028/2029,2029/2030,2030/2031,2031/2032,2032/2033,2033/2034,2034/2035"</formula1>
    </dataValidation>
  </dataValidations>
  <pageMargins left="0.25" right="0.25" top="0.75" bottom="0.75" header="0.3" footer="0.3"/>
  <pageSetup paperSize="9" scale="59" fitToHeight="0" orientation="landscape" r:id="rId1"/>
  <rowBreaks count="2" manualBreakCount="2">
    <brk id="21" min="1" max="12" man="1"/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9</vt:i4>
      </vt:variant>
      <vt:variant>
        <vt:lpstr>Benoemde bereiken</vt:lpstr>
      </vt:variant>
      <vt:variant>
        <vt:i4>17</vt:i4>
      </vt:variant>
    </vt:vector>
  </HeadingPairs>
  <TitlesOfParts>
    <vt:vector size="26" baseType="lpstr">
      <vt:lpstr>VISIE &amp; DOEL</vt:lpstr>
      <vt:lpstr>OPL.PLAN JAAR 4 @ PERIODE 1</vt:lpstr>
      <vt:lpstr>SHORTLIST @ PERIODE 1</vt:lpstr>
      <vt:lpstr>OPL.PLAN JAAR 4 @ PERIODE 2</vt:lpstr>
      <vt:lpstr>SHORTLIST @ PERIODE 2</vt:lpstr>
      <vt:lpstr>OPL.PLAN JAAR 4 @ PERIODE 3</vt:lpstr>
      <vt:lpstr>SHORTLIST @ PERIODE 3</vt:lpstr>
      <vt:lpstr>OPL.PLAN JAAR 4 @ PERIODE 4</vt:lpstr>
      <vt:lpstr>SHORTLIST @ PERIODE 4</vt:lpstr>
      <vt:lpstr>'OPL.PLAN JAAR 4 @ PERIODE 1'!Afdrukbereik</vt:lpstr>
      <vt:lpstr>'OPL.PLAN JAAR 4 @ PERIODE 2'!Afdrukbereik</vt:lpstr>
      <vt:lpstr>'OPL.PLAN JAAR 4 @ PERIODE 3'!Afdrukbereik</vt:lpstr>
      <vt:lpstr>'OPL.PLAN JAAR 4 @ PERIODE 4'!Afdrukbereik</vt:lpstr>
      <vt:lpstr>'SHORTLIST @ PERIODE 1'!Afdrukbereik</vt:lpstr>
      <vt:lpstr>'SHORTLIST @ PERIODE 2'!Afdrukbereik</vt:lpstr>
      <vt:lpstr>'SHORTLIST @ PERIODE 3'!Afdrukbereik</vt:lpstr>
      <vt:lpstr>'SHORTLIST @ PERIODE 4'!Afdrukbereik</vt:lpstr>
      <vt:lpstr>'VISIE &amp; DOEL'!Afdrukbereik</vt:lpstr>
      <vt:lpstr>'OPL.PLAN JAAR 4 @ PERIODE 1'!Afdruktitels</vt:lpstr>
      <vt:lpstr>'OPL.PLAN JAAR 4 @ PERIODE 2'!Afdruktitels</vt:lpstr>
      <vt:lpstr>'OPL.PLAN JAAR 4 @ PERIODE 3'!Afdruktitels</vt:lpstr>
      <vt:lpstr>'OPL.PLAN JAAR 4 @ PERIODE 4'!Afdruktitels</vt:lpstr>
      <vt:lpstr>'SHORTLIST @ PERIODE 1'!Afdruktitels</vt:lpstr>
      <vt:lpstr>'SHORTLIST @ PERIODE 2'!Afdruktitels</vt:lpstr>
      <vt:lpstr>'SHORTLIST @ PERIODE 3'!Afdruktitels</vt:lpstr>
      <vt:lpstr>'SHORTLIST @ PERIODE 4'!Afdruktitels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Cees van den Heuvel</dc:creator>
  <cp:keywords/>
  <dc:description/>
  <cp:lastModifiedBy>Cees van den Heuvel</cp:lastModifiedBy>
  <cp:revision/>
  <cp:lastPrinted>2025-12-07T10:03:38Z</cp:lastPrinted>
  <dcterms:created xsi:type="dcterms:W3CDTF">2025-10-19T08:07:20Z</dcterms:created>
  <dcterms:modified xsi:type="dcterms:W3CDTF">2025-12-16T07:32:30Z</dcterms:modified>
  <cp:category/>
  <cp:contentStatus/>
</cp:coreProperties>
</file>